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0a57eb92ae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회 안내" sheetId="1" r:id="R515102ea568d4ff6"/>
    <x:sheet xmlns:r="http://schemas.openxmlformats.org/officeDocument/2006/relationships" name="일별 KPI·변수" sheetId="2" r:id="R01e8089ec76e48b8"/>
    <x:sheet xmlns:r="http://schemas.openxmlformats.org/officeDocument/2006/relationships" name="추가 변수" sheetId="3" r:id="R416630fff21743dd"/>
    <x:sheet xmlns:r="http://schemas.openxmlformats.org/officeDocument/2006/relationships" name="원가 영향도" sheetId="4" r:id="R9443628c40e445b1"/>
    <x:sheet xmlns:r="http://schemas.openxmlformats.org/officeDocument/2006/relationships" name="원가 기준" sheetId="5" r:id="R870dc03eef754ef6"/>
    <x:sheet xmlns:r="http://schemas.openxmlformats.org/officeDocument/2006/relationships" name="원본·산식 설명" sheetId="6" r:id="R2eb54cd88248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#,##0.000"/>
    <x:numFmt numFmtId="202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addaa22054e7e" /><Relationship Type="http://schemas.openxmlformats.org/officeDocument/2006/relationships/theme" Target="/xl/theme/theme1.xml" Id="Rda4a5668ca8d4c6f" /><Relationship Type="http://schemas.openxmlformats.org/officeDocument/2006/relationships/sharedStrings" Target="/xl/sharedStrings.xml" Id="Ra73d8f526859451b" /><Relationship Type="http://schemas.openxmlformats.org/officeDocument/2006/relationships/worksheet" Target="/xl/worksheets/sheet1.xml" Id="R515102ea568d4ff6" /><Relationship Type="http://schemas.openxmlformats.org/officeDocument/2006/relationships/worksheet" Target="/xl/worksheets/sheet2.xml" Id="R01e8089ec76e48b8" /><Relationship Type="http://schemas.openxmlformats.org/officeDocument/2006/relationships/worksheet" Target="/xl/worksheets/sheet3.xml" Id="R416630fff21743dd" /><Relationship Type="http://schemas.openxmlformats.org/officeDocument/2006/relationships/worksheet" Target="/xl/worksheets/sheet4.xml" Id="R9443628c40e445b1" /><Relationship Type="http://schemas.openxmlformats.org/officeDocument/2006/relationships/worksheet" Target="/xl/worksheets/sheet5.xml" Id="R870dc03eef754ef6" /><Relationship Type="http://schemas.openxmlformats.org/officeDocument/2006/relationships/worksheet" Target="/xl/worksheets/sheet6.xml" Id="R2eb54cd882484f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KPI·변수 및 원가 영향도 검증용 계산 시트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t="str">
        <x:v>목적</x:v>
      </x:c>
      <x:c r="B3" t="str">
        <x:v>지정한 일자·기간의 합성 원본 데이터를 엑셀에서 확인·계산</x:v>
      </x:c>
    </x:row>
    <x:row r="4">
      <x:c r="A4" t="str">
        <x:v>화면 조회</x:v>
      </x:c>
      <x:c r="B4" t="str">
        <x:v>사용하지 않음</x:v>
      </x:c>
    </x:row>
    <x:row r="5">
      <x:c r="A5" t="str">
        <x:v>조회 기간 수</x:v>
      </x:c>
      <x:c r="B5" t="n">
        <x:v>9</x:v>
      </x:c>
    </x:row>
    <x:row r="6">
      <x:c r="A6" t="str">
        <x:v>조회 일자 수</x:v>
      </x:c>
      <x:c r="B6" t="n">
        <x:v>41</x:v>
      </x:c>
    </x:row>
    <x:row r="7">
      <x:c r="A7" t="str">
        <x:v>원가 영향</x:v>
      </x:c>
      <x:c r="B7" t="str">
        <x:v>가스량·약품 A·약품 B·스팀의 목표 대비 손익 영향</x:v>
      </x:c>
    </x:row>
    <x:row r="8">
      <x:c r="A8" t="str">
        <x:v>사용 방법</x:v>
      </x:c>
      <x:c r="B8" t="str">
        <x:v>'일별 KPI·변수'와 '원가 영향도' 시트에서 기간/조업일 필터 사용</x:v>
      </x:c>
    </x:row>
    <x:row r="10">
      <x:c r="A10" t="str">
        <x:v>입력한 기간</x:v>
      </x:c>
      <x:c r="B10" t="str">
        <x:v>시작일</x:v>
      </x:c>
      <x:c r="C10" t="str">
        <x:v>종료일</x:v>
      </x:c>
      <x:c r="D10" t="str">
        <x:v>비고</x:v>
      </x:c>
    </x:row>
    <x:row r="11">
      <x:c r="A11" t="str">
        <x:v>2024년 2월 14일 ~ 2월 22일</x:v>
      </x:c>
      <x:c r="B11" t="str">
        <x:v>2024-02-14</x:v>
      </x:c>
      <x:c r="C11" t="str">
        <x:v>2024-02-22</x:v>
      </x:c>
      <x:c r="D11" t="str">
        <x:v>원본 데이터 기반</x:v>
      </x:c>
    </x:row>
    <x:row r="12">
      <x:c r="A12" t="str">
        <x:v>2024년 07월 06일</x:v>
      </x:c>
      <x:c r="B12" t="str">
        <x:v>2024-07-06</x:v>
      </x:c>
      <x:c r="C12" t="str">
        <x:v>2024-07-06</x:v>
      </x:c>
      <x:c r="D12" t="str">
        <x:v>원본 데이터 기반</x:v>
      </x:c>
    </x:row>
    <x:row r="13">
      <x:c r="A13" t="str">
        <x:v>2024년 11월 18일 ~ 11월 27일</x:v>
      </x:c>
      <x:c r="B13" t="str">
        <x:v>2024-11-18</x:v>
      </x:c>
      <x:c r="C13" t="str">
        <x:v>2024-11-27</x:v>
      </x:c>
      <x:c r="D13" t="str">
        <x:v>원본 데이터 기반</x:v>
      </x:c>
    </x:row>
    <x:row r="14">
      <x:c r="A14" t="str">
        <x:v>2025년 4월 3일 ~ 4월 9일</x:v>
      </x:c>
      <x:c r="B14" t="str">
        <x:v>2025-04-03</x:v>
      </x:c>
      <x:c r="C14" t="str">
        <x:v>2025-04-09</x:v>
      </x:c>
      <x:c r="D14" t="str">
        <x:v>원본 데이터 기반</x:v>
      </x:c>
    </x:row>
    <x:row r="15">
      <x:c r="A15" t="str">
        <x:v>2025년 09월 21일</x:v>
      </x:c>
      <x:c r="B15" t="str">
        <x:v>2025-09-21</x:v>
      </x:c>
      <x:c r="C15" t="str">
        <x:v>2025-09-21</x:v>
      </x:c>
      <x:c r="D15" t="str">
        <x:v>원본 데이터 기반</x:v>
      </x:c>
    </x:row>
    <x:row r="16">
      <x:c r="A16" t="str">
        <x:v>2025.06.15</x:v>
      </x:c>
      <x:c r="B16" t="str">
        <x:v>2025-06-15</x:v>
      </x:c>
      <x:c r="C16" t="str">
        <x:v>2025-06-15</x:v>
      </x:c>
      <x:c r="D16" t="str">
        <x:v>원본 데이터 기반</x:v>
      </x:c>
    </x:row>
    <x:row r="17">
      <x:c r="A17" t="str">
        <x:v>2025.02.11</x:v>
      </x:c>
      <x:c r="B17" t="str">
        <x:v>2025-02-11</x:v>
      </x:c>
      <x:c r="C17" t="str">
        <x:v>2025-02-11</x:v>
      </x:c>
      <x:c r="D17" t="str">
        <x:v>원본 데이터 기반</x:v>
      </x:c>
    </x:row>
    <x:row r="18">
      <x:c r="A18" t="str">
        <x:v>2024.10.11 ~ 10.15</x:v>
      </x:c>
      <x:c r="B18" t="str">
        <x:v>2024-10-11</x:v>
      </x:c>
      <x:c r="C18" t="str">
        <x:v>2024-10-15</x:v>
      </x:c>
      <x:c r="D18" t="str">
        <x:v>원본 데이터 기반</x:v>
      </x:c>
    </x:row>
    <x:row r="19">
      <x:c r="A19" t="str">
        <x:v>2025.09.11 ~ 09.16</x:v>
      </x:c>
      <x:c r="B19" t="str">
        <x:v>2025-09-11</x:v>
      </x:c>
      <x:c r="C19" t="str">
        <x:v>2025-09-16</x:v>
      </x:c>
      <x:c r="D19" t="str">
        <x:v>원본 데이터 기반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조회기간</x:v>
      </x:c>
      <x:c r="B1" s="3" t="str">
        <x:v>operation_date</x:v>
      </x:c>
      <x:c r="C1" s="3" t="str">
        <x:v>VAR_U04_UTIL_U01</x:v>
      </x:c>
      <x:c r="D1" s="3" t="str">
        <x:v>VAR_U04_FEED_U02</x:v>
      </x:c>
      <x:c r="E1" s="3" t="str">
        <x:v>VAR_U04_VM_U03</x:v>
      </x:c>
      <x:c r="F1" s="3" t="str">
        <x:v>VAR_U04_CONC_H01</x:v>
      </x:c>
      <x:c r="G1" s="3" t="str">
        <x:v>VAR_U04_FLOW_H02</x:v>
      </x:c>
      <x:c r="H1" s="3" t="str">
        <x:v>VAR_U04_RATIO_H03</x:v>
      </x:c>
      <x:c r="I1" s="3" t="str">
        <x:v>VAR_U04_TEMP_P02</x:v>
      </x:c>
      <x:c r="J1" s="3" t="str">
        <x:v>VAR_U04_TEMP_P03</x:v>
      </x:c>
      <x:c r="K1" s="3" t="str">
        <x:v>VAR_U04_DP_P04</x:v>
      </x:c>
      <x:c r="L1" s="3" t="str">
        <x:v>VAR_U04_TEMP_D01</x:v>
      </x:c>
      <x:c r="M1" s="3" t="str">
        <x:v>VAR_U04_FLOW_D02</x:v>
      </x:c>
      <x:c r="N1" s="3" t="str">
        <x:v>VAR_U04_U_D03</x:v>
      </x:c>
      <x:c r="O1" s="3" t="str">
        <x:v>KPI_U04_QTY_G01</x:v>
      </x:c>
      <x:c r="P1" s="3" t="str">
        <x:v>KPI_U04_OUT_P01</x:v>
      </x:c>
      <x:c r="Q1" s="3" t="str">
        <x:v>KPI_U04_OUT_P02</x:v>
      </x:c>
      <x:c r="R1" s="3" t="str">
        <x:v>KPI_U04_OUT_P03</x:v>
      </x:c>
      <x:c r="S1" s="3" t="str">
        <x:v>KPI_U04_UI_P01</x:v>
      </x:c>
      <x:c r="T1" s="3" t="str">
        <x:v>KPI_U04_UI_P02</x:v>
      </x:c>
      <x:c r="U1" s="3" t="str">
        <x:v>KPI_U04_UI_P03</x:v>
      </x:c>
      <x:c r="V1" s="3" t="str">
        <x:v>KPI_U04_CHEM_M01</x:v>
      </x:c>
      <x:c r="W1" s="3" t="str">
        <x:v>KPI_U04_CHEM_M02</x:v>
      </x:c>
      <x:c r="X1" s="3" t="str">
        <x:v>KPI_U04_CHEM_U01</x:v>
      </x:c>
      <x:c r="Y1" s="3" t="str">
        <x:v>KPI_U04_CHEM_U02</x:v>
      </x:c>
      <x:c r="Z1" s="3" t="str">
        <x:v>KPI_U04_CONTAIN_S01</x:v>
      </x:c>
    </x:row>
    <x:row r="2">
      <x:c r="A2" t="str">
        <x:v>2024년 2월 14일 ~ 2월 22일</x:v>
      </x:c>
      <x:c r="B2" s="9" t="str">
        <x:v>2024-02-14</x:v>
      </x:c>
      <x:c r="C2" t="n">
        <x:v>0.8895484361987465</x:v>
      </x:c>
      <x:c r="D2" t="n">
        <x:v>1101.858534497703</x:v>
      </x:c>
      <x:c r="E2" t="n">
        <x:v>22.57569377901688</x:v>
      </x:c>
      <x:c r="F2" t="n">
        <x:v>55.20571164038864</x:v>
      </x:c>
      <x:c r="G2" t="n">
        <x:v>1577.670143197178</x:v>
      </x:c>
      <x:c r="H2" t="n">
        <x:v>1.736559219503189</x:v>
      </x:c>
      <x:c r="I2" t="n">
        <x:v>43.16210014739673</x:v>
      </x:c>
      <x:c r="J2" t="n">
        <x:v>61.1244440917562</x:v>
      </x:c>
      <x:c r="K2" t="n">
        <x:v>60.28526164226133</x:v>
      </x:c>
      <x:c r="L2" t="n">
        <x:v>60.71180300131235</x:v>
      </x:c>
      <x:c r="M2" t="n">
        <x:v>8.06839206688416</x:v>
      </x:c>
      <x:c r="N2" t="n">
        <x:v>0.9416767434424117</x:v>
      </x:c>
      <x:c r="O2" t="n">
        <x:v>1054142.478838277</x:v>
      </x:c>
      <x:c r="P2" t="n">
        <x:v>15961.72541614897</x:v>
      </x:c>
      <x:c r="Q2" t="n">
        <x:v>11031.44719598955</x:v>
      </x:c>
      <x:c r="R2" t="n">
        <x:v>2627.500133879852</x:v>
      </x:c>
      <x:c r="S2" t="n">
        <x:v>14486.183948673</x:v>
      </x:c>
      <x:c r="T2" t="n">
        <x:v>10011.67286961968</x:v>
      </x:c>
      <x:c r="U2" t="n">
        <x:v>2384.607507784686</x:v>
      </x:c>
      <x:c r="V2" t="n">
        <x:v>496.6670406183226</x:v>
      </x:c>
      <x:c r="W2" t="n">
        <x:v>893.2282778941352</x:v>
      </x:c>
      <x:c r="X2" t="n">
        <x:v>0.4711574104913001</x:v>
      </x:c>
      <x:c r="Y2" t="n">
        <x:v>0.8473506151450438</x:v>
      </x:c>
      <x:c r="Z2" t="n">
        <x:v>0.7123446122319863</x:v>
      </x:c>
    </x:row>
    <x:row r="3">
      <x:c r="A3" t="str">
        <x:v>2024년 2월 14일 ~ 2월 22일</x:v>
      </x:c>
      <x:c r="B3" s="9" t="str">
        <x:v>2024-02-15</x:v>
      </x:c>
      <x:c r="C3" t="n">
        <x:v>0.8909279433253228</x:v>
      </x:c>
      <x:c r="D3" t="n">
        <x:v>1104.965005655538</x:v>
      </x:c>
      <x:c r="E3" t="n">
        <x:v>22.70185230941945</x:v>
      </x:c>
      <x:c r="F3" t="n">
        <x:v>55.90849622513389</x:v>
      </x:c>
      <x:c r="G3" t="n">
        <x:v>1568.685974238109</x:v>
      </x:c>
      <x:c r="H3" t="n">
        <x:v>1.725001750777875</x:v>
      </x:c>
      <x:c r="I3" t="n">
        <x:v>42.80137430804283</x:v>
      </x:c>
      <x:c r="J3" t="n">
        <x:v>60.63818552196491</x:v>
      </x:c>
      <x:c r="K3" t="n">
        <x:v>59.93498564556054</x:v>
      </x:c>
      <x:c r="L3" t="n">
        <x:v>60.76879765849068</x:v>
      </x:c>
      <x:c r="M3" t="n">
        <x:v>8.008019634287509</x:v>
      </x:c>
      <x:c r="N3" t="n">
        <x:v>0.930786451928944</x:v>
      </x:c>
      <x:c r="O3" t="n">
        <x:v>1058674.60221104</x:v>
      </x:c>
      <x:c r="P3" t="n">
        <x:v>14847.99271962913</x:v>
      </x:c>
      <x:c r="Q3" t="n">
        <x:v>10369.17782866664</x:v>
      </x:c>
      <x:c r="R3" t="n">
        <x:v>2729.710124400417</x:v>
      </x:c>
      <x:c r="S3" t="n">
        <x:v>13437.52303795388</x:v>
      </x:c>
      <x:c r="T3" t="n">
        <x:v>9384.168526237592</x:v>
      </x:c>
      <x:c r="U3" t="n">
        <x:v>2470.404139885836</x:v>
      </x:c>
      <x:c r="V3" t="n">
        <x:v>494.0588018891531</x:v>
      </x:c>
      <x:c r="W3" t="n">
        <x:v>899.6429053256721</x:v>
      </x:c>
      <x:c r="X3" t="n">
        <x:v>0.4666767303733483</x:v>
      </x:c>
      <x:c r="Y3" t="n">
        <x:v>0.8497822687412827</x:v>
      </x:c>
      <x:c r="Z3" t="n">
        <x:v>0.6842355420968712</x:v>
      </x:c>
    </x:row>
    <x:row r="4">
      <x:c r="A4" t="str">
        <x:v>2024년 2월 14일 ~ 2월 22일</x:v>
      </x:c>
      <x:c r="B4" s="9" t="str">
        <x:v>2024-02-16</x:v>
      </x:c>
      <x:c r="C4" t="n">
        <x:v>0.880029869050766</x:v>
      </x:c>
      <x:c r="D4" t="n">
        <x:v>1096.917853308476</x:v>
      </x:c>
      <x:c r="E4" t="n">
        <x:v>22.61879668928181</x:v>
      </x:c>
      <x:c r="F4" t="n">
        <x:v>55.66602792533022</x:v>
      </x:c>
      <x:c r="G4" t="n">
        <x:v>1587.411836281706</x:v>
      </x:c>
      <x:c r="H4" t="n">
        <x:v>1.728596109799124</x:v>
      </x:c>
      <x:c r="I4" t="n">
        <x:v>42.78820112354672</x:v>
      </x:c>
      <x:c r="J4" t="n">
        <x:v>60.62046466449535</x:v>
      </x:c>
      <x:c r="K4" t="n">
        <x:v>61.66047392665752</x:v>
      </x:c>
      <x:c r="L4" t="n">
        <x:v>61.26710291930168</x:v>
      </x:c>
      <x:c r="M4" t="n">
        <x:v>8.14315195607889</x:v>
      </x:c>
      <x:c r="N4" t="n">
        <x:v>0.9439867925147208</x:v>
      </x:c>
      <x:c r="O4" t="n">
        <x:v>1048867.011069921</x:v>
      </x:c>
      <x:c r="P4" t="n">
        <x:v>14552.30847336073</x:v>
      </x:c>
      <x:c r="Q4" t="n">
        <x:v>10223.92837436339</x:v>
      </x:c>
      <x:c r="R4" t="n">
        <x:v>2703.593477703025</x:v>
      </x:c>
      <x:c r="S4" t="n">
        <x:v>13266.54355152366</x:v>
      </x:c>
      <x:c r="T4" t="n">
        <x:v>9320.596199183396</x:v>
      </x:c>
      <x:c r="U4" t="n">
        <x:v>2464.718273614168</x:v>
      </x:c>
      <x:c r="V4" t="n">
        <x:v>495.8681006805057</x:v>
      </x:c>
      <x:c r="W4" t="n">
        <x:v>890.7069407962196</x:v>
      </x:c>
      <x:c r="X4" t="n">
        <x:v>0.4727654654470295</x:v>
      </x:c>
      <x:c r="Y4" t="n">
        <x:v>0.8492086521890259</x:v>
      </x:c>
      <x:c r="Z4" t="n">
        <x:v>0.7161812185216928</x:v>
      </x:c>
    </x:row>
    <x:row r="5">
      <x:c r="A5" t="str">
        <x:v>2024년 2월 14일 ~ 2월 22일</x:v>
      </x:c>
      <x:c r="B5" s="9" t="str">
        <x:v>2024-02-17</x:v>
      </x:c>
      <x:c r="C5" t="n">
        <x:v>0.8888249097908315</x:v>
      </x:c>
      <x:c r="D5" t="n">
        <x:v>1095.417003923866</x:v>
      </x:c>
      <x:c r="E5" t="n">
        <x:v>22.47358149396764</x:v>
      </x:c>
      <x:c r="F5" t="n">
        <x:v>55.52906443831819</x:v>
      </x:c>
      <x:c r="G5" t="n">
        <x:v>1591.452387710103</x:v>
      </x:c>
      <x:c r="H5" t="n">
        <x:v>1.723649846450733</x:v>
      </x:c>
      <x:c r="I5" t="n">
        <x:v>42.66910554490883</x:v>
      </x:c>
      <x:c r="J5" t="n">
        <x:v>60.61846422014094</x:v>
      </x:c>
      <x:c r="K5" t="n">
        <x:v>61.4813233639286</x:v>
      </x:c>
      <x:c r="L5" t="n">
        <x:v>61.097372474477</x:v>
      </x:c>
      <x:c r="M5" t="n">
        <x:v>8.110012040565923</x:v>
      </x:c>
      <x:c r="N5" t="n">
        <x:v>0.934469994242789</x:v>
      </x:c>
      <x:c r="O5" t="n">
        <x:v>1054094.209978183</x:v>
      </x:c>
      <x:c r="P5" t="n">
        <x:v>14872.8426135069</x:v>
      </x:c>
      <x:c r="Q5" t="n">
        <x:v>10750.35866277318</x:v>
      </x:c>
      <x:c r="R5" t="n">
        <x:v>2656.397887814011</x:v>
      </x:c>
      <x:c r="S5" t="n">
        <x:v>13577.33407481467</x:v>
      </x:c>
      <x:c r="T5" t="n">
        <x:v>9813.94174480092</x:v>
      </x:c>
      <x:c r="U5" t="n">
        <x:v>2425.01063823055</x:v>
      </x:c>
      <x:c r="V5" t="n">
        <x:v>491.4511324944451</x:v>
      </x:c>
      <x:c r="W5" t="n">
        <x:v>893.6168320568434</x:v>
      </x:c>
      <x:c r="X5" t="n">
        <x:v>0.4662307484874781</x:v>
      </x:c>
      <x:c r="Y5" t="n">
        <x:v>0.847758031111222</x:v>
      </x:c>
      <x:c r="Z5" t="n">
        <x:v>0.7632394661511427</x:v>
      </x:c>
    </x:row>
    <x:row r="6">
      <x:c r="A6" t="str">
        <x:v>2024년 2월 14일 ~ 2월 22일</x:v>
      </x:c>
      <x:c r="B6" s="9" t="str">
        <x:v>2024-02-18</x:v>
      </x:c>
      <x:c r="C6" t="n">
        <x:v>0.8877160086765487</x:v>
      </x:c>
      <x:c r="D6" t="n">
        <x:v>1101.68242327304</x:v>
      </x:c>
      <x:c r="E6" t="n">
        <x:v>22.73623065020925</x:v>
      </x:c>
      <x:c r="F6" t="n">
        <x:v>55.12246170987103</x:v>
      </x:c>
      <x:c r="G6" t="n">
        <x:v>1606.674397307987</x:v>
      </x:c>
      <x:c r="H6" t="n">
        <x:v>1.736827332373357</x:v>
      </x:c>
      <x:c r="I6" t="n">
        <x:v>43.09069679657292</x:v>
      </x:c>
      <x:c r="J6" t="n">
        <x:v>61.08925149841709</x:v>
      </x:c>
      <x:c r="K6" t="n">
        <x:v>61.81991019838506</x:v>
      </x:c>
      <x:c r="L6" t="n">
        <x:v>60.820625480556</x:v>
      </x:c>
      <x:c r="M6" t="n">
        <x:v>8.07791667415403</x:v>
      </x:c>
      <x:c r="N6" t="n">
        <x:v>0.9303567554906257</x:v>
      </x:c>
      <x:c r="O6" t="n">
        <x:v>1074826.174181218</x:v>
      </x:c>
      <x:c r="P6" t="n">
        <x:v>14319.13128353009</x:v>
      </x:c>
      <x:c r="Q6" t="n">
        <x:v>9921.612219485087</x:v>
      </x:c>
      <x:c r="R6" t="n">
        <x:v>2845.358662674072</x:v>
      </x:c>
      <x:c r="S6" t="n">
        <x:v>12997.51269607145</x:v>
      </x:c>
      <x:c r="T6" t="n">
        <x:v>9005.87320800536</x:v>
      </x:c>
      <x:c r="U6" t="n">
        <x:v>2582.739456095399</x:v>
      </x:c>
      <x:c r="V6" t="n">
        <x:v>500.1834805078416</x:v>
      </x:c>
      <x:c r="W6" t="n">
        <x:v>900.5480854501401</x:v>
      </x:c>
      <x:c r="X6" t="n">
        <x:v>0.4653622069530189</x:v>
      </x:c>
      <x:c r="Y6" t="n">
        <x:v>0.8378546290391191</x:v>
      </x:c>
      <x:c r="Z6" t="n">
        <x:v>0.6908777054801662</x:v>
      </x:c>
    </x:row>
    <x:row r="7">
      <x:c r="A7" t="str">
        <x:v>2024년 2월 14일 ~ 2월 22일</x:v>
      </x:c>
      <x:c r="B7" s="9" t="str">
        <x:v>2024-02-19</x:v>
      </x:c>
      <x:c r="C7" t="n">
        <x:v>0.904098419025474</x:v>
      </x:c>
      <x:c r="D7" t="n">
        <x:v>1098.286750863922</x:v>
      </x:c>
      <x:c r="E7" t="n">
        <x:v>23.46163541458118</x:v>
      </x:c>
      <x:c r="F7" t="n">
        <x:v>55.21175242160997</x:v>
      </x:c>
      <x:c r="G7" t="n">
        <x:v>1586.060634197256</x:v>
      </x:c>
      <x:c r="H7" t="n">
        <x:v>1.74828786696955</x:v>
      </x:c>
      <x:c r="I7" t="n">
        <x:v>43.09180171434172</x:v>
      </x:c>
      <x:c r="J7" t="n">
        <x:v>60.83389164435187</x:v>
      </x:c>
      <x:c r="K7" t="n">
        <x:v>62.18889269472468</x:v>
      </x:c>
      <x:c r="L7" t="n">
        <x:v>60.89839951266661</x:v>
      </x:c>
      <x:c r="M7" t="n">
        <x:v>8.105350752865986</x:v>
      </x:c>
      <x:c r="N7" t="n">
        <x:v>0.9464783869923524</x:v>
      </x:c>
      <x:c r="O7" t="n">
        <x:v>1061697.271758878</x:v>
      </x:c>
      <x:c r="P7" t="n">
        <x:v>14483.76000071871</x:v>
      </x:c>
      <x:c r="Q7" t="n">
        <x:v>10009.17636109849</x:v>
      </x:c>
      <x:c r="R7" t="n">
        <x:v>2885.430852713534</x:v>
      </x:c>
      <x:c r="S7" t="n">
        <x:v>13187.5942137385</x:v>
      </x:c>
      <x:c r="T7" t="n">
        <x:v>9113.445421448616</x:v>
      </x:c>
      <x:c r="U7" t="n">
        <x:v>2627.210835825735</x:v>
      </x:c>
      <x:c r="V7" t="n">
        <x:v>502.1138063496774</x:v>
      </x:c>
      <x:c r="W7" t="n">
        <x:v>890.0082308908703</x:v>
      </x:c>
      <x:c r="X7" t="n">
        <x:v>0.4729350067160316</x:v>
      </x:c>
      <x:c r="Y7" t="n">
        <x:v>0.8382881397221862</x:v>
      </x:c>
      <x:c r="Z7" t="n">
        <x:v>0.6998060303782347</x:v>
      </x:c>
    </x:row>
    <x:row r="8">
      <x:c r="A8" t="str">
        <x:v>2024년 2월 14일 ~ 2월 22일</x:v>
      </x:c>
      <x:c r="B8" s="9" t="str">
        <x:v>2024-02-20</x:v>
      </x:c>
      <x:c r="C8" t="n">
        <x:v>0.8912933445732012</x:v>
      </x:c>
      <x:c r="D8" t="n">
        <x:v>1103.134128710349</x:v>
      </x:c>
      <x:c r="E8" t="n">
        <x:v>24.92960168423217</x:v>
      </x:c>
      <x:c r="F8" t="n">
        <x:v>55.24174154645318</x:v>
      </x:c>
      <x:c r="G8" t="n">
        <x:v>1585.20112659682</x:v>
      </x:c>
      <x:c r="H8" t="n">
        <x:v>1.721363520059944</x:v>
      </x:c>
      <x:c r="I8" t="n">
        <x:v>42.91311274790329</x:v>
      </x:c>
      <x:c r="J8" t="n">
        <x:v>61.05298952617206</x:v>
      </x:c>
      <x:c r="K8" t="n">
        <x:v>61.05274597104859</x:v>
      </x:c>
      <x:c r="L8" t="n">
        <x:v>61.02536535491864</x:v>
      </x:c>
      <x:c r="M8" t="n">
        <x:v>8.045930394141363</x:v>
      </x:c>
      <x:c r="N8" t="n">
        <x:v>0.947554488225336</x:v>
      </x:c>
      <x:c r="O8" t="n">
        <x:v>1048536.840689888</x:v>
      </x:c>
      <x:c r="P8" t="n">
        <x:v>15663.8365235389</x:v>
      </x:c>
      <x:c r="Q8" t="n">
        <x:v>10335.83552462148</x:v>
      </x:c>
      <x:c r="R8" t="n">
        <x:v>2767.152139989088</x:v>
      </x:c>
      <x:c r="S8" t="n">
        <x:v>14199.3943581921</x:v>
      </x:c>
      <x:c r="T8" t="n">
        <x:v>9369.518407253783</x:v>
      </x:c>
      <x:c r="U8" t="n">
        <x:v>2508.445770981727</x:v>
      </x:c>
      <x:c r="V8" t="n">
        <x:v>496.0385447607159</x:v>
      </x:c>
      <x:c r="W8" t="n">
        <x:v>891.7812494940413</x:v>
      </x:c>
      <x:c r="X8" t="n">
        <x:v>0.4730768872501856</x:v>
      </x:c>
      <x:c r="Y8" t="n">
        <x:v>0.8505006356355503</x:v>
      </x:c>
      <x:c r="Z8" t="n">
        <x:v>0.670779591377376</x:v>
      </x:c>
    </x:row>
    <x:row r="9">
      <x:c r="A9" t="str">
        <x:v>2024년 2월 14일 ~ 2월 22일</x:v>
      </x:c>
      <x:c r="B9" s="9" t="str">
        <x:v>2024-02-21</x:v>
      </x:c>
      <x:c r="C9" t="n">
        <x:v>0.896920110809587</x:v>
      </x:c>
      <x:c r="D9" t="n">
        <x:v>1107.399187483541</x:v>
      </x:c>
      <x:c r="E9" t="n">
        <x:v>26.42338105570228</x:v>
      </x:c>
      <x:c r="F9" t="n">
        <x:v>55.13900047221611</x:v>
      </x:c>
      <x:c r="G9" t="n">
        <x:v>1583.507630121335</x:v>
      </x:c>
      <x:c r="H9" t="n">
        <x:v>1.736795734175741</x:v>
      </x:c>
      <x:c r="I9" t="n">
        <x:v>42.82741396619014</x:v>
      </x:c>
      <x:c r="J9" t="n">
        <x:v>60.95073000512564</x:v>
      </x:c>
      <x:c r="K9" t="n">
        <x:v>61.72779081528966</x:v>
      </x:c>
      <x:c r="L9" t="n">
        <x:v>61.25265531337686</x:v>
      </x:c>
      <x:c r="M9" t="n">
        <x:v>8.134705637820327</x:v>
      </x:c>
      <x:c r="N9" t="n">
        <x:v>0.9334443036928981</x:v>
      </x:c>
      <x:c r="O9" t="n">
        <x:v>1031526.977763318</x:v>
      </x:c>
      <x:c r="P9" t="n">
        <x:v>17232.67870974841</x:v>
      </x:c>
      <x:c r="Q9" t="n">
        <x:v>10983.61490205879</x:v>
      </x:c>
      <x:c r="R9" t="n">
        <x:v>2689.976547400298</x:v>
      </x:c>
      <x:c r="S9" t="n">
        <x:v>15561.39728520844</x:v>
      </x:c>
      <x:c r="T9" t="n">
        <x:v>9918.388081011695</x:v>
      </x:c>
      <x:c r="U9" t="n">
        <x:v>2429.093842404754</x:v>
      </x:c>
      <x:c r="V9" t="n">
        <x:v>483.2266088733816</x:v>
      </x:c>
      <x:c r="W9" t="n">
        <x:v>886.7511331150307</x:v>
      </x:c>
      <x:c r="X9" t="n">
        <x:v>0.4684575578635592</x:v>
      </x:c>
      <x:c r="Y9" t="n">
        <x:v>0.8596489982625491</x:v>
      </x:c>
      <x:c r="Z9" t="n">
        <x:v>0.6889163921274929</x:v>
      </x:c>
    </x:row>
    <x:row r="10">
      <x:c r="A10" t="str">
        <x:v>2024년 2월 14일 ~ 2월 22일</x:v>
      </x:c>
      <x:c r="B10" s="9" t="str">
        <x:v>2024-02-22</x:v>
      </x:c>
      <x:c r="C10" t="n">
        <x:v>0.9122617687635324</x:v>
      </x:c>
      <x:c r="D10" t="n">
        <x:v>1099.868547728246</x:v>
      </x:c>
      <x:c r="E10" t="n">
        <x:v>26.85411017025278</x:v>
      </x:c>
      <x:c r="F10" t="n">
        <x:v>55.17309084446635</x:v>
      </x:c>
      <x:c r="G10" t="n">
        <x:v>1576.408030530285</x:v>
      </x:c>
      <x:c r="H10" t="n">
        <x:v>1.738080362415828</x:v>
      </x:c>
      <x:c r="I10" t="n">
        <x:v>43.01921380474735</x:v>
      </x:c>
      <x:c r="J10" t="n">
        <x:v>60.86545385341091</x:v>
      </x:c>
      <x:c r="K10" t="n">
        <x:v>61.78990268834801</x:v>
      </x:c>
      <x:c r="L10" t="n">
        <x:v>61.00796672438752</x:v>
      </x:c>
      <x:c r="M10" t="n">
        <x:v>8.153293607982356</x:v>
      </x:c>
      <x:c r="N10" t="n">
        <x:v>0.9335887332632794</x:v>
      </x:c>
      <x:c r="O10" t="n">
        <x:v>1036644.548767604</x:v>
      </x:c>
      <x:c r="P10" t="n">
        <x:v>17440.03482119347</x:v>
      </x:c>
      <x:c r="Q10" t="n">
        <x:v>11866.16530196782</x:v>
      </x:c>
      <x:c r="R10" t="n">
        <x:v>2653.353854805304</x:v>
      </x:c>
      <x:c r="S10" t="n">
        <x:v>15856.47199132613</x:v>
      </x:c>
      <x:c r="T10" t="n">
        <x:v>10788.712275187</x:v>
      </x:c>
      <x:c r="U10" t="n">
        <x:v>2412.428158151943</x:v>
      </x:c>
      <x:c r="V10" t="n">
        <x:v>484.7158321880123</x:v>
      </x:c>
      <x:c r="W10" t="n">
        <x:v>885.5125788877428</x:v>
      </x:c>
      <x:c r="X10" t="n">
        <x:v>0.4675815184329653</x:v>
      </x:c>
      <x:c r="Y10" t="n">
        <x:v>0.8542104233707385</x:v>
      </x:c>
      <x:c r="Z10" t="n">
        <x:v>0.7476069231107565</x:v>
      </x:c>
    </x:row>
    <x:row r="11">
      <x:c r="A11" t="str">
        <x:v>2024년 07월 06일</x:v>
      </x:c>
      <x:c r="B11" s="9" t="str">
        <x:v>2024-07-06</x:v>
      </x:c>
      <x:c r="C11" t="n">
        <x:v>0.9141187176467834</x:v>
      </x:c>
      <x:c r="D11" t="n">
        <x:v>1106.75987253641</x:v>
      </x:c>
      <x:c r="E11" t="n">
        <x:v>27.33927356419697</x:v>
      </x:c>
      <x:c r="F11" t="n">
        <x:v>55.56904236697048</x:v>
      </x:c>
      <x:c r="G11" t="n">
        <x:v>1604.723375646156</x:v>
      </x:c>
      <x:c r="H11" t="n">
        <x:v>1.727420314212052</x:v>
      </x:c>
      <x:c r="I11" t="n">
        <x:v>43.05554949942433</x:v>
      </x:c>
      <x:c r="J11" t="n">
        <x:v>61.05942151378602</x:v>
      </x:c>
      <x:c r="K11" t="n">
        <x:v>62.05245049491543</x:v>
      </x:c>
      <x:c r="L11" t="n">
        <x:v>61.23854484684927</x:v>
      </x:c>
      <x:c r="M11" t="n">
        <x:v>8.210041536892973</x:v>
      </x:c>
      <x:c r="N11" t="n">
        <x:v>0.9382153397515985</x:v>
      </x:c>
      <x:c r="O11" t="n">
        <x:v>1072479.172219319</x:v>
      </x:c>
      <x:c r="P11" t="n">
        <x:v>18117.13769269647</x:v>
      </x:c>
      <x:c r="Q11" t="n">
        <x:v>12249.80400125661</x:v>
      </x:c>
      <x:c r="R11" t="n">
        <x:v>2903.882973212682</x:v>
      </x:c>
      <x:c r="S11" t="n">
        <x:v>16369.52887637373</x:v>
      </x:c>
      <x:c r="T11" t="n">
        <x:v>11068.167816008</x:v>
      </x:c>
      <x:c r="U11" t="n">
        <x:v>2623.769658867128</x:v>
      </x:c>
      <x:c r="V11" t="n">
        <x:v>495.8000539230118</x:v>
      </x:c>
      <x:c r="W11" t="n">
        <x:v>899.1437657998752</x:v>
      </x:c>
      <x:c r="X11" t="n">
        <x:v>0.4622934102272917</x:v>
      </x:c>
      <x:c r="Y11" t="n">
        <x:v>0.8383787667775826</x:v>
      </x:c>
      <x:c r="Z11" t="n">
        <x:v>0.693991809021748</x:v>
      </x:c>
    </x:row>
    <x:row r="12">
      <x:c r="A12" t="str">
        <x:v>2024년 11월 18일 ~ 11월 27일</x:v>
      </x:c>
      <x:c r="B12" s="9" t="str">
        <x:v>2024-11-18</x:v>
      </x:c>
      <x:c r="C12" t="n">
        <x:v>0.9074297050488495</x:v>
      </x:c>
      <x:c r="D12" t="n">
        <x:v>1127.947968370664</x:v>
      </x:c>
      <x:c r="E12" t="n">
        <x:v>27.25644642545481</x:v>
      </x:c>
      <x:c r="F12" t="n">
        <x:v>54.92797252776229</x:v>
      </x:c>
      <x:c r="G12" t="n">
        <x:v>1585.717405125225</x:v>
      </x:c>
      <x:c r="H12" t="n">
        <x:v>1.734871488333995</x:v>
      </x:c>
      <x:c r="I12" t="n">
        <x:v>42.89719038749851</x:v>
      </x:c>
      <x:c r="J12" t="n">
        <x:v>60.803794002655</x:v>
      </x:c>
      <x:c r="K12" t="n">
        <x:v>61.01456544966473</x:v>
      </x:c>
      <x:c r="L12" t="n">
        <x:v>60.52240079835894</x:v>
      </x:c>
      <x:c r="M12" t="n">
        <x:v>8.074680672064696</x:v>
      </x:c>
      <x:c r="N12" t="n">
        <x:v>0.9454255091848337</x:v>
      </x:c>
      <x:c r="O12" t="n">
        <x:v>1046160.779106427</x:v>
      </x:c>
      <x:c r="P12" t="n">
        <x:v>17794.80734982477</x:v>
      </x:c>
      <x:c r="Q12" t="n">
        <x:v>12098.40194838134</x:v>
      </x:c>
      <x:c r="R12" t="n">
        <x:v>2956.371109085236</x:v>
      </x:c>
      <x:c r="S12" t="n">
        <x:v>15776.26614774581</x:v>
      </x:c>
      <x:c r="T12" t="n">
        <x:v>10726.02840524429</x:v>
      </x:c>
      <x:c r="U12" t="n">
        <x:v>2621.017273833786</x:v>
      </x:c>
      <x:c r="V12" t="n">
        <x:v>491.815104855716</x:v>
      </x:c>
      <x:c r="W12" t="n">
        <x:v>882.2482033994521</x:v>
      </x:c>
      <x:c r="X12" t="n">
        <x:v>0.4701142641533524</x:v>
      </x:c>
      <x:c r="Y12" t="n">
        <x:v>0.8433198997892272</x:v>
      </x:c>
      <x:c r="Z12" t="n">
        <x:v>0.7100892699777587</x:v>
      </x:c>
    </x:row>
    <x:row r="13">
      <x:c r="A13" t="str">
        <x:v>2024년 11월 18일 ~ 11월 27일</x:v>
      </x:c>
      <x:c r="B13" s="9" t="str">
        <x:v>2024-11-19</x:v>
      </x:c>
      <x:c r="C13" t="n">
        <x:v>0.8973268793925914</x:v>
      </x:c>
      <x:c r="D13" t="n">
        <x:v>1117.555399530513</x:v>
      </x:c>
      <x:c r="E13" t="n">
        <x:v>27.2003132657769</x:v>
      </x:c>
      <x:c r="F13" t="n">
        <x:v>55.19604447570669</x:v>
      </x:c>
      <x:c r="G13" t="n">
        <x:v>1577.404666519358</x:v>
      </x:c>
      <x:c r="H13" t="n">
        <x:v>1.731366178181875</x:v>
      </x:c>
      <x:c r="I13" t="n">
        <x:v>42.87413378054433</x:v>
      </x:c>
      <x:c r="J13" t="n">
        <x:v>60.61576605902618</x:v>
      </x:c>
      <x:c r="K13" t="n">
        <x:v>60.68824692214716</x:v>
      </x:c>
      <x:c r="L13" t="n">
        <x:v>60.69415535269871</x:v>
      </x:c>
      <x:c r="M13" t="n">
        <x:v>8.086236890217336</x:v>
      </x:c>
      <x:c r="N13" t="n">
        <x:v>0.944278669186454</x:v>
      </x:c>
      <x:c r="O13" t="n">
        <x:v>1036977.535986333</x:v>
      </x:c>
      <x:c r="P13" t="n">
        <x:v>18137.7278132191</x:v>
      </x:c>
      <x:c r="Q13" t="n">
        <x:v>12505.45952492333</x:v>
      </x:c>
      <x:c r="R13" t="n">
        <x:v>3036.66557214549</x:v>
      </x:c>
      <x:c r="S13" t="n">
        <x:v>16229.82432981739</x:v>
      </x:c>
      <x:c r="T13" t="n">
        <x:v>11190.01306796683</x:v>
      </x:c>
      <x:c r="U13" t="n">
        <x:v>2717.239407926622</x:v>
      </x:c>
      <x:c r="V13" t="n">
        <x:v>487.0169215321615</x:v>
      </x:c>
      <x:c r="W13" t="n">
        <x:v>886.8880778487269</x:v>
      </x:c>
      <x:c r="X13" t="n">
        <x:v>0.4696504067167952</x:v>
      </x:c>
      <x:c r="Y13" t="n">
        <x:v>0.8552625751966294</x:v>
      </x:c>
      <x:c r="Z13" t="n">
        <x:v>0.6895556923069791</x:v>
      </x:c>
    </x:row>
    <x:row r="14">
      <x:c r="A14" t="str">
        <x:v>2024년 11월 18일 ~ 11월 27일</x:v>
      </x:c>
      <x:c r="B14" s="9" t="str">
        <x:v>2024-11-20</x:v>
      </x:c>
      <x:c r="C14" t="n">
        <x:v>0.87088411766781</x:v>
      </x:c>
      <x:c r="D14" t="n">
        <x:v>1129.609210907177</x:v>
      </x:c>
      <x:c r="E14" t="n">
        <x:v>27.50269531568494</x:v>
      </x:c>
      <x:c r="F14" t="n">
        <x:v>55.35268483429451</x:v>
      </x:c>
      <x:c r="G14" t="n">
        <x:v>1573.166069798136</x:v>
      </x:c>
      <x:c r="H14" t="n">
        <x:v>1.730353265058904</x:v>
      </x:c>
      <x:c r="I14" t="n">
        <x:v>42.88465995900453</x:v>
      </x:c>
      <x:c r="J14" t="n">
        <x:v>60.7611552906973</x:v>
      </x:c>
      <x:c r="K14" t="n">
        <x:v>61.61995463938553</x:v>
      </x:c>
      <x:c r="L14" t="n">
        <x:v>61.18753768318179</x:v>
      </x:c>
      <x:c r="M14" t="n">
        <x:v>8.114356243174745</x:v>
      </x:c>
      <x:c r="N14" t="n">
        <x:v>0.9383016773536731</x:v>
      </x:c>
      <x:c r="O14" t="n">
        <x:v>1038939.612049606</x:v>
      </x:c>
      <x:c r="P14" t="n">
        <x:v>17613.33907877744</x:v>
      </x:c>
      <x:c r="Q14" t="n">
        <x:v>12510.16672524413</x:v>
      </x:c>
      <x:c r="R14" t="n">
        <x:v>2958.795911681978</x:v>
      </x:c>
      <x:c r="S14" t="n">
        <x:v>15592.41807583381</x:v>
      </x:c>
      <x:c r="T14" t="n">
        <x:v>11074.7740054256</x:v>
      </x:c>
      <x:c r="U14" t="n">
        <x:v>2619.309300165675</x:v>
      </x:c>
      <x:c r="V14" t="n">
        <x:v>488.3987573213307</x:v>
      </x:c>
      <x:c r="W14" t="n">
        <x:v>882.910147845501</x:v>
      </x:c>
      <x:c r="X14" t="n">
        <x:v>0.4700934988491048</x:v>
      </x:c>
      <x:c r="Y14" t="n">
        <x:v>0.8498185434509595</x:v>
      </x:c>
      <x:c r="Z14" t="n">
        <x:v>0.7249825603315548</x:v>
      </x:c>
    </x:row>
    <x:row r="15">
      <x:c r="A15" t="str">
        <x:v>2024년 11월 18일 ~ 11월 27일</x:v>
      </x:c>
      <x:c r="B15" s="9" t="str">
        <x:v>2024-11-21</x:v>
      </x:c>
      <x:c r="C15" t="n">
        <x:v>0.8757736099197916</x:v>
      </x:c>
      <x:c r="D15" t="n">
        <x:v>1110.278314011967</x:v>
      </x:c>
      <x:c r="E15" t="n">
        <x:v>27.62344599465476</x:v>
      </x:c>
      <x:c r="F15" t="n">
        <x:v>55.23003637752387</x:v>
      </x:c>
      <x:c r="G15" t="n">
        <x:v>1584.853863356934</x:v>
      </x:c>
      <x:c r="H15" t="n">
        <x:v>1.701504194713162</x:v>
      </x:c>
      <x:c r="I15" t="n">
        <x:v>42.94349273772423</x:v>
      </x:c>
      <x:c r="J15" t="n">
        <x:v>61.17028647975922</x:v>
      </x:c>
      <x:c r="K15" t="n">
        <x:v>61.5008310006513</x:v>
      </x:c>
      <x:c r="L15" t="n">
        <x:v>60.89548300711417</x:v>
      </x:c>
      <x:c r="M15" t="n">
        <x:v>8.12280305536256</x:v>
      </x:c>
      <x:c r="N15" t="n">
        <x:v>0.9326572918499791</x:v>
      </x:c>
      <x:c r="O15" t="n">
        <x:v>1051919.893890029</x:v>
      </x:c>
      <x:c r="P15" t="n">
        <x:v>17659.58287116314</x:v>
      </x:c>
      <x:c r="Q15" t="n">
        <x:v>12415.58241668466</x:v>
      </x:c>
      <x:c r="R15" t="n">
        <x:v>2866.816835737398</x:v>
      </x:c>
      <x:c r="S15" t="n">
        <x:v>15905.54606740954</x:v>
      </x:c>
      <x:c r="T15" t="n">
        <x:v>11182.40558245367</x:v>
      </x:c>
      <x:c r="U15" t="n">
        <x:v>2582.0704588728</x:v>
      </x:c>
      <x:c r="V15" t="n">
        <x:v>489.5283107323841</x:v>
      </x:c>
      <x:c r="W15" t="n">
        <x:v>887.2902210755354</x:v>
      </x:c>
      <x:c r="X15" t="n">
        <x:v>0.4653665298809921</x:v>
      </x:c>
      <x:c r="Y15" t="n">
        <x:v>0.8434959983448092</x:v>
      </x:c>
      <x:c r="Z15" t="n">
        <x:v>0.7296027863460558</x:v>
      </x:c>
    </x:row>
    <x:row r="16">
      <x:c r="A16" t="str">
        <x:v>2024년 11월 18일 ~ 11월 27일</x:v>
      </x:c>
      <x:c r="B16" s="9" t="str">
        <x:v>2024-11-22</x:v>
      </x:c>
      <x:c r="C16" t="n">
        <x:v>0.8837245920203028</x:v>
      </x:c>
      <x:c r="D16" t="n">
        <x:v>1112.035515804916</x:v>
      </x:c>
      <x:c r="E16" t="n">
        <x:v>27.59075174488016</x:v>
      </x:c>
      <x:c r="F16" t="n">
        <x:v>55.52429566017401</x:v>
      </x:c>
      <x:c r="G16" t="n">
        <x:v>1572.146141306453</x:v>
      </x:c>
      <x:c r="H16" t="n">
        <x:v>1.710651347987812</x:v>
      </x:c>
      <x:c r="I16" t="n">
        <x:v>42.84971389392084</x:v>
      </x:c>
      <x:c r="J16" t="n">
        <x:v>60.74619466266563</x:v>
      </x:c>
      <x:c r="K16" t="n">
        <x:v>60.09129443082611</x:v>
      </x:c>
      <x:c r="L16" t="n">
        <x:v>61.01938002754034</x:v>
      </x:c>
      <x:c r="M16" t="n">
        <x:v>8.09339068278007</x:v>
      </x:c>
      <x:c r="N16" t="n">
        <x:v>0.9457494581954249</x:v>
      </x:c>
      <x:c r="O16" t="n">
        <x:v>1042017.100445729</x:v>
      </x:c>
      <x:c r="P16" t="n">
        <x:v>17219.36791355249</x:v>
      </x:c>
      <x:c r="Q16" t="n">
        <x:v>12399.07629466985</x:v>
      </x:c>
      <x:c r="R16" t="n">
        <x:v>2780.355297891152</x:v>
      </x:c>
      <x:c r="S16" t="n">
        <x:v>15484.54853178742</x:v>
      </x:c>
      <x:c r="T16" t="n">
        <x:v>11149.89235365844</x:v>
      </x:c>
      <x:c r="U16" t="n">
        <x:v>2500.239658153965</x:v>
      </x:c>
      <x:c r="V16" t="n">
        <x:v>490.749205809998</x:v>
      </x:c>
      <x:c r="W16" t="n">
        <x:v>884.4171728654782</x:v>
      </x:c>
      <x:c r="X16" t="n">
        <x:v>0.4709607986280429</x:v>
      </x:c>
      <x:c r="Y16" t="n">
        <x:v>0.8487549508421347</x:v>
      </x:c>
      <x:c r="Z16" t="n">
        <x:v>0.73405625340212</x:v>
      </x:c>
    </x:row>
    <x:row r="17">
      <x:c r="A17" t="str">
        <x:v>2024년 11월 18일 ~ 11월 27일</x:v>
      </x:c>
      <x:c r="B17" s="9" t="str">
        <x:v>2024-11-23</x:v>
      </x:c>
      <x:c r="C17" t="n">
        <x:v>0.8789941951512926</x:v>
      </x:c>
      <x:c r="D17" t="n">
        <x:v>1115.949253554963</x:v>
      </x:c>
      <x:c r="E17" t="n">
        <x:v>27.57307011867265</x:v>
      </x:c>
      <x:c r="F17" t="n">
        <x:v>55.49204039067956</x:v>
      </x:c>
      <x:c r="G17" t="n">
        <x:v>1596.610242968242</x:v>
      </x:c>
      <x:c r="H17" t="n">
        <x:v>1.724192086022368</x:v>
      </x:c>
      <x:c r="I17" t="n">
        <x:v>43.03501062090481</x:v>
      </x:c>
      <x:c r="J17" t="n">
        <x:v>60.894757827721</x:v>
      </x:c>
      <x:c r="K17" t="n">
        <x:v>61.31405964632197</x:v>
      </x:c>
      <x:c r="L17" t="n">
        <x:v>60.73110164745349</x:v>
      </x:c>
      <x:c r="M17" t="n">
        <x:v>8.03249727788719</x:v>
      </x:c>
      <x:c r="N17" t="n">
        <x:v>0.9465983947371667</x:v>
      </x:c>
      <x:c r="O17" t="n">
        <x:v>1062371.715289251</x:v>
      </x:c>
      <x:c r="P17" t="n">
        <x:v>17464.50788490773</x:v>
      </x:c>
      <x:c r="Q17" t="n">
        <x:v>12383.42525319821</x:v>
      </x:c>
      <x:c r="R17" t="n">
        <x:v>2990.656493225528</x:v>
      </x:c>
      <x:c r="S17" t="n">
        <x:v>15649.91224222148</x:v>
      </x:c>
      <x:c r="T17" t="n">
        <x:v>11096.7637764438</x:v>
      </x:c>
      <x:c r="U17" t="n">
        <x:v>2679.921585769699</x:v>
      </x:c>
      <x:c r="V17" t="n">
        <x:v>496.2443453848144</x:v>
      </x:c>
      <x:c r="W17" t="n">
        <x:v>895.7527642659949</x:v>
      </x:c>
      <x:c r="X17" t="n">
        <x:v>0.4671098997112346</x:v>
      </x:c>
      <x:c r="Y17" t="n">
        <x:v>0.8431632274981162</x:v>
      </x:c>
      <x:c r="Z17" t="n">
        <x:v>0.7223435447285648</x:v>
      </x:c>
    </x:row>
    <x:row r="18">
      <x:c r="A18" t="str">
        <x:v>2024년 11월 18일 ~ 11월 27일</x:v>
      </x:c>
      <x:c r="B18" s="9" t="str">
        <x:v>2024-11-24</x:v>
      </x:c>
      <x:c r="C18" t="n">
        <x:v>0.8896674429705484</x:v>
      </x:c>
      <x:c r="D18" t="n">
        <x:v>1114.910665827801</x:v>
      </x:c>
      <x:c r="E18" t="n">
        <x:v>27.61684271557961</x:v>
      </x:c>
      <x:c r="F18" t="n">
        <x:v>54.99401622029874</x:v>
      </x:c>
      <x:c r="G18" t="n">
        <x:v>1614.004292554853</x:v>
      </x:c>
      <x:c r="H18" t="n">
        <x:v>1.734648178803566</x:v>
      </x:c>
      <x:c r="I18" t="n">
        <x:v>42.96205643611972</x:v>
      </x:c>
      <x:c r="J18" t="n">
        <x:v>60.84304741633017</x:v>
      </x:c>
      <x:c r="K18" t="n">
        <x:v>63.17405600999837</x:v>
      </x:c>
      <x:c r="L18" t="n">
        <x:v>60.50968021828029</x:v>
      </x:c>
      <x:c r="M18" t="n">
        <x:v>8.03614838799054</x:v>
      </x:c>
      <x:c r="N18" t="n">
        <x:v>0.946009165076906</x:v>
      </x:c>
      <x:c r="O18" t="n">
        <x:v>1066792.308851407</x:v>
      </x:c>
      <x:c r="P18" t="n">
        <x:v>17558.45175434797</x:v>
      </x:c>
      <x:c r="Q18" t="n">
        <x:v>11576.39542806071</x:v>
      </x:c>
      <x:c r="R18" t="n">
        <x:v>2853.289188227269</x:v>
      </x:c>
      <x:c r="S18" t="n">
        <x:v>15748.75215792391</x:v>
      </x:c>
      <x:c r="T18" t="n">
        <x:v>10383.24933367235</x:v>
      </x:c>
      <x:c r="U18" t="n">
        <x:v>2559.208800921061</x:v>
      </x:c>
      <x:c r="V18" t="n">
        <x:v>499.4100000673731</x:v>
      </x:c>
      <x:c r="W18" t="n">
        <x:v>890.3172330622461</x:v>
      </x:c>
      <x:c r="X18" t="n">
        <x:v>0.4681417328599577</x:v>
      </x:c>
      <x:c r="Y18" t="n">
        <x:v>0.8345741018894595</x:v>
      </x:c>
      <x:c r="Z18" t="n">
        <x:v>0.7380138508729486</x:v>
      </x:c>
    </x:row>
    <x:row r="19">
      <x:c r="A19" t="str">
        <x:v>2024년 11월 18일 ~ 11월 27일</x:v>
      </x:c>
      <x:c r="B19" s="9" t="str">
        <x:v>2024-11-25</x:v>
      </x:c>
      <x:c r="C19" t="n">
        <x:v>0.8920272347210402</x:v>
      </x:c>
      <x:c r="D19" t="n">
        <x:v>1127.101882027129</x:v>
      </x:c>
      <x:c r="E19" t="n">
        <x:v>27.45853047582324</x:v>
      </x:c>
      <x:c r="F19" t="n">
        <x:v>54.70406545974868</x:v>
      </x:c>
      <x:c r="G19" t="n">
        <x:v>1598.986019477311</x:v>
      </x:c>
      <x:c r="H19" t="n">
        <x:v>1.721908462409001</x:v>
      </x:c>
      <x:c r="I19" t="n">
        <x:v>42.75086644116725</x:v>
      </x:c>
      <x:c r="J19" t="n">
        <x:v>60.91269266589543</x:v>
      </x:c>
      <x:c r="K19" t="n">
        <x:v>61.24768627266607</x:v>
      </x:c>
      <x:c r="L19" t="n">
        <x:v>60.43101086125304</x:v>
      </x:c>
      <x:c r="M19" t="n">
        <x:v>8.018920767775116</x:v>
      </x:c>
      <x:c r="N19" t="n">
        <x:v>0.9475323971900326</x:v>
      </x:c>
      <x:c r="O19" t="n">
        <x:v>1055256.392934849</x:v>
      </x:c>
      <x:c r="P19" t="n">
        <x:v>17062.3877510638</x:v>
      </x:c>
      <x:c r="Q19" t="n">
        <x:v>11692.80076397419</x:v>
      </x:c>
      <x:c r="R19" t="n">
        <x:v>2842.458900590815</x:v>
      </x:c>
      <x:c r="S19" t="n">
        <x:v>15138.28343572326</x:v>
      </x:c>
      <x:c r="T19" t="n">
        <x:v>10374.21811677248</x:v>
      </x:c>
      <x:c r="U19" t="n">
        <x:v>2521.918334018361</x:v>
      </x:c>
      <x:c r="V19" t="n">
        <x:v>495.9435188955483</x:v>
      </x:c>
      <x:c r="W19" t="n">
        <x:v>883.3447757455951</x:v>
      </x:c>
      <x:c r="X19" t="n">
        <x:v>0.4699744272728302</x:v>
      </x:c>
      <x:c r="Y19" t="n">
        <x:v>0.837090191217759</x:v>
      </x:c>
      <x:c r="Z19" t="n">
        <x:v>0.7402713665086188</x:v>
      </x:c>
    </x:row>
    <x:row r="20">
      <x:c r="A20" t="str">
        <x:v>2024년 11월 18일 ~ 11월 27일</x:v>
      </x:c>
      <x:c r="B20" s="9" t="str">
        <x:v>2024-11-26</x:v>
      </x:c>
      <x:c r="C20" t="n">
        <x:v>0.9070853491005041</x:v>
      </x:c>
      <x:c r="D20" t="n">
        <x:v>1110.26462990597</x:v>
      </x:c>
      <x:c r="E20" t="n">
        <x:v>27.56894778907879</x:v>
      </x:c>
      <x:c r="F20" t="n">
        <x:v>55.6580180391764</x:v>
      </x:c>
      <x:c r="G20" t="n">
        <x:v>1565.67545578623</x:v>
      </x:c>
      <x:c r="H20" t="n">
        <x:v>1.754806277643764</x:v>
      </x:c>
      <x:c r="I20" t="n">
        <x:v>42.78786817698758</x:v>
      </x:c>
      <x:c r="J20" t="n">
        <x:v>61.0173427729922</x:v>
      </x:c>
      <x:c r="K20" t="n">
        <x:v>60.91195257095035</x:v>
      </x:c>
      <x:c r="L20" t="n">
        <x:v>60.68073531173746</x:v>
      </x:c>
      <x:c r="M20" t="n">
        <x:v>8.085893628671165</x:v>
      </x:c>
      <x:c r="N20" t="n">
        <x:v>0.9374909889467901</x:v>
      </x:c>
      <x:c r="O20" t="n">
        <x:v>1046980.378458829</x:v>
      </x:c>
      <x:c r="P20" t="n">
        <x:v>17689.08641697092</x:v>
      </x:c>
      <x:c r="Q20" t="n">
        <x:v>12084.15045665169</x:v>
      </x:c>
      <x:c r="R20" t="n">
        <x:v>2614.293004411973</x:v>
      </x:c>
      <x:c r="S20" t="n">
        <x:v>15932.3155403672</x:v>
      </x:c>
      <x:c r="T20" t="n">
        <x:v>10884.02722301901</x:v>
      </x:c>
      <x:c r="U20" t="n">
        <x:v>2354.657560002954</x:v>
      </x:c>
      <x:c r="V20" t="n">
        <x:v>496.8078574489821</x:v>
      </x:c>
      <x:c r="W20" t="n">
        <x:v>887.7427500490156</x:v>
      </x:c>
      <x:c r="X20" t="n">
        <x:v>0.4745149648174792</x:v>
      </x:c>
      <x:c r="Y20" t="n">
        <x:v>0.8479077242648871</x:v>
      </x:c>
      <x:c r="Z20" t="n">
        <x:v>0.6774242932343159</x:v>
      </x:c>
    </x:row>
    <x:row r="21">
      <x:c r="A21" t="str">
        <x:v>2024년 11월 18일 ~ 11월 27일</x:v>
      </x:c>
      <x:c r="B21" s="9" t="str">
        <x:v>2024-11-27</x:v>
      </x:c>
      <x:c r="C21" t="n">
        <x:v>0.9246375992316239</x:v>
      </x:c>
      <x:c r="D21" t="n">
        <x:v>1099.225504122643</x:v>
      </x:c>
      <x:c r="E21" t="n">
        <x:v>27.35104183656722</x:v>
      </x:c>
      <x:c r="F21" t="n">
        <x:v>55.46815181255059</x:v>
      </x:c>
      <x:c r="G21" t="n">
        <x:v>1584.766872461589</x:v>
      </x:c>
      <x:c r="H21" t="n">
        <x:v>1.746017170359326</x:v>
      </x:c>
      <x:c r="I21" t="n">
        <x:v>42.80084757603628</x:v>
      </x:c>
      <x:c r="J21" t="n">
        <x:v>61.05180424739834</x:v>
      </x:c>
      <x:c r="K21" t="n">
        <x:v>60.6952197381984</x:v>
      </x:c>
      <x:c r="L21" t="n">
        <x:v>60.87400889419829</x:v>
      </x:c>
      <x:c r="M21" t="n">
        <x:v>8.048148762541816</x:v>
      </x:c>
      <x:c r="N21" t="n">
        <x:v>0.9413363432204704</x:v>
      </x:c>
      <x:c r="O21" t="n">
        <x:v>1056502.395819254</x:v>
      </x:c>
      <x:c r="P21" t="n">
        <x:v>18002.60180649841</x:v>
      </x:c>
      <x:c r="Q21" t="n">
        <x:v>12212.09199613094</x:v>
      </x:c>
      <x:c r="R21" t="n">
        <x:v>2872.192049201229</x:v>
      </x:c>
      <x:c r="S21" t="n">
        <x:v>16377.53285288568</x:v>
      </x:c>
      <x:c r="T21" t="n">
        <x:v>11109.72402871796</x:v>
      </x:c>
      <x:c r="U21" t="n">
        <x:v>2612.923406916122</x:v>
      </x:c>
      <x:c r="V21" t="n">
        <x:v>495.7787605159865</x:v>
      </x:c>
      <x:c r="W21" t="n">
        <x:v>888.609710197627</x:v>
      </x:c>
      <x:c r="X21" t="n">
        <x:v>0.469264208465462</x:v>
      </x:c>
      <x:c r="Y21" t="n">
        <x:v>0.8410863181323537</x:v>
      </x:c>
      <x:c r="Z21" t="n">
        <x:v>0.6972751266753808</x:v>
      </x:c>
    </x:row>
    <x:row r="22">
      <x:c r="A22" t="str">
        <x:v>2025년 4월 3일 ~ 4월 9일</x:v>
      </x:c>
      <x:c r="B22" s="9" t="str">
        <x:v>2025-04-03</x:v>
      </x:c>
      <x:c r="C22" t="n">
        <x:v>0.8954399869567307</x:v>
      </x:c>
      <x:c r="D22" t="n">
        <x:v>1111.739371727454</x:v>
      </x:c>
      <x:c r="E22" t="n">
        <x:v>27.31972737554648</x:v>
      </x:c>
      <x:c r="F22" t="n">
        <x:v>55.92749835039558</x:v>
      </x:c>
      <x:c r="G22" t="n">
        <x:v>1564.4628485365</x:v>
      </x:c>
      <x:c r="H22" t="n">
        <x:v>1.744585909618973</x:v>
      </x:c>
      <x:c r="I22" t="n">
        <x:v>43.02561133926307</x:v>
      </x:c>
      <x:c r="J22" t="n">
        <x:v>60.85555489685766</x:v>
      </x:c>
      <x:c r="K22" t="n">
        <x:v>61.09765297994901</x:v>
      </x:c>
      <x:c r="L22" t="n">
        <x:v>61.11938288059678</x:v>
      </x:c>
      <x:c r="M22" t="n">
        <x:v>8.124823009850815</x:v>
      </x:c>
      <x:c r="N22" t="n">
        <x:v>0.9476708935517303</x:v>
      </x:c>
      <x:c r="O22" t="n">
        <x:v>1047786.719581976</x:v>
      </x:c>
      <x:c r="P22" t="n">
        <x:v>17741.23711044516</x:v>
      </x:c>
      <x:c r="Q22" t="n">
        <x:v>12021.06990739575</x:v>
      </x:c>
      <x:c r="R22" t="n">
        <x:v>2682.33130255726</x:v>
      </x:c>
      <x:c r="S22" t="n">
        <x:v>15958.09014380619</x:v>
      </x:c>
      <x:c r="T22" t="n">
        <x:v>10812.84895822036</x:v>
      </x:c>
      <x:c r="U22" t="n">
        <x:v>2412.733929166667</x:v>
      </x:c>
      <x:c r="V22" t="n">
        <x:v>495.0893566440039</x:v>
      </x:c>
      <x:c r="W22" t="n">
        <x:v>896.3699499395562</x:v>
      </x:c>
      <x:c r="X22" t="n">
        <x:v>0.4725096695647414</x:v>
      </x:c>
      <x:c r="Y22" t="n">
        <x:v>0.8554889398647569</x:v>
      </x:c>
      <x:c r="Z22" t="n">
        <x:v>0.7018820486542586</x:v>
      </x:c>
    </x:row>
    <x:row r="23">
      <x:c r="A23" t="str">
        <x:v>2025년 4월 3일 ~ 4월 9일</x:v>
      </x:c>
      <x:c r="B23" s="9" t="str">
        <x:v>2025-04-04</x:v>
      </x:c>
      <x:c r="C23" t="n">
        <x:v>0.8741861227415142</x:v>
      </x:c>
      <x:c r="D23" t="n">
        <x:v>1108.825815428118</x:v>
      </x:c>
      <x:c r="E23" t="n">
        <x:v>27.00933970986324</x:v>
      </x:c>
      <x:c r="F23" t="n">
        <x:v>55.43882084051322</x:v>
      </x:c>
      <x:c r="G23" t="n">
        <x:v>1541.510114497116</x:v>
      </x:c>
      <x:c r="H23" t="n">
        <x:v>1.736240758637752</x:v>
      </x:c>
      <x:c r="I23" t="n">
        <x:v>42.82492653037042</x:v>
      </x:c>
      <x:c r="J23" t="n">
        <x:v>60.86089343922094</x:v>
      </x:c>
      <x:c r="K23" t="n">
        <x:v>58.92260914476852</x:v>
      </x:c>
      <x:c r="L23" t="n">
        <x:v>61.42027229208522</x:v>
      </x:c>
      <x:c r="M23" t="n">
        <x:v>8.082788238644332</x:v>
      </x:c>
      <x:c r="N23" t="n">
        <x:v>0.94699189844027</x:v>
      </x:c>
      <x:c r="O23" t="n">
        <x:v>1004056.176077551</x:v>
      </x:c>
      <x:c r="P23" t="n">
        <x:v>17319.19392853459</x:v>
      </x:c>
      <x:c r="Q23" t="n">
        <x:v>11585.57569414404</x:v>
      </x:c>
      <x:c r="R23" t="n">
        <x:v>2724.523516344411</x:v>
      </x:c>
      <x:c r="S23" t="n">
        <x:v>15619.39998830894</x:v>
      </x:c>
      <x:c r="T23" t="n">
        <x:v>10448.50826247299</x:v>
      </x:c>
      <x:c r="U23" t="n">
        <x:v>2457.124895935501</x:v>
      </x:c>
      <x:c r="V23" t="n">
        <x:v>472.9668460463892</x:v>
      </x:c>
      <x:c r="W23" t="n">
        <x:v>880.1684107644644</x:v>
      </x:c>
      <x:c r="X23" t="n">
        <x:v>0.471056159321765</x:v>
      </x:c>
      <x:c r="Y23" t="n">
        <x:v>0.876612715239632</x:v>
      </x:c>
      <x:c r="Z23" t="n">
        <x:v>0.7059733178975142</x:v>
      </x:c>
    </x:row>
    <x:row r="24">
      <x:c r="A24" t="str">
        <x:v>2025년 4월 3일 ~ 4월 9일</x:v>
      </x:c>
      <x:c r="B24" s="9" t="str">
        <x:v>2025-04-05</x:v>
      </x:c>
      <x:c r="C24" t="n">
        <x:v>0.8913609425714175</x:v>
      </x:c>
      <x:c r="D24" t="n">
        <x:v>1116.294040843179</x:v>
      </x:c>
      <x:c r="E24" t="n">
        <x:v>26.83651093933826</x:v>
      </x:c>
      <x:c r="F24" t="n">
        <x:v>55.05128604416273</x:v>
      </x:c>
      <x:c r="G24" t="n">
        <x:v>1591.243774011931</x:v>
      </x:c>
      <x:c r="H24" t="n">
        <x:v>1.710891981631456</x:v>
      </x:c>
      <x:c r="I24" t="n">
        <x:v>42.97768722592548</x:v>
      </x:c>
      <x:c r="J24" t="n">
        <x:v>60.91140895911123</x:v>
      </x:c>
      <x:c r="K24" t="n">
        <x:v>61.00673492385737</x:v>
      </x:c>
      <x:c r="L24" t="n">
        <x:v>61.439157378895</x:v>
      </x:c>
      <x:c r="M24" t="n">
        <x:v>8.060136717742312</x:v>
      </x:c>
      <x:c r="N24" t="n">
        <x:v>0.9466556748686816</x:v>
      </x:c>
      <x:c r="O24" t="n">
        <x:v>1031887.74755064</x:v>
      </x:c>
      <x:c r="P24" t="n">
        <x:v>17975.12035607472</x:v>
      </x:c>
      <x:c r="Q24" t="n">
        <x:v>11599.34894029721</x:v>
      </x:c>
      <x:c r="R24" t="n">
        <x:v>2833.113880520512</x:v>
      </x:c>
      <x:c r="S24" t="n">
        <x:v>16102.49602559683</x:v>
      </x:c>
      <x:c r="T24" t="n">
        <x:v>10390.94406661508</x:v>
      </x:c>
      <x:c r="U24" t="n">
        <x:v>2537.963813172875</x:v>
      </x:c>
      <x:c r="V24" t="n">
        <x:v>482.5499995519838</x:v>
      </x:c>
      <x:c r="W24" t="n">
        <x:v>880.4228203871853</x:v>
      </x:c>
      <x:c r="X24" t="n">
        <x:v>0.4676380746814735</x:v>
      </x:c>
      <x:c r="Y24" t="n">
        <x:v>0.8532156937389919</x:v>
      </x:c>
      <x:c r="Z24" t="n">
        <x:v>0.7221043937459489</x:v>
      </x:c>
    </x:row>
    <x:row r="25">
      <x:c r="A25" t="str">
        <x:v>2025년 4월 3일 ~ 4월 9일</x:v>
      </x:c>
      <x:c r="B25" s="9" t="str">
        <x:v>2025-04-06</x:v>
      </x:c>
      <x:c r="C25" t="n">
        <x:v>0.8923635130400536</x:v>
      </x:c>
      <x:c r="D25" t="n">
        <x:v>1109.916280510318</x:v>
      </x:c>
      <x:c r="E25" t="n">
        <x:v>26.92997389936451</x:v>
      </x:c>
      <x:c r="F25" t="n">
        <x:v>54.63575301807959</x:v>
      </x:c>
      <x:c r="G25" t="n">
        <x:v>1587.843492075193</x:v>
      </x:c>
      <x:c r="H25" t="n">
        <x:v>1.736136023043115</x:v>
      </x:c>
      <x:c r="I25" t="n">
        <x:v>43.03023015565349</x:v>
      </x:c>
      <x:c r="J25" t="n">
        <x:v>60.85665698416248</x:v>
      </x:c>
      <x:c r="K25" t="n">
        <x:v>61.42836747862381</x:v>
      </x:c>
      <x:c r="L25" t="n">
        <x:v>61.08585175389544</x:v>
      </x:c>
      <x:c r="M25" t="n">
        <x:v>8.143118229156743</x:v>
      </x:c>
      <x:c r="N25" t="n">
        <x:v>0.9370821532726054</x:v>
      </x:c>
      <x:c r="O25" t="n">
        <x:v>1021871.413772785</x:v>
      </x:c>
      <x:c r="P25" t="n">
        <x:v>17579.11835737164</x:v>
      </x:c>
      <x:c r="Q25" t="n">
        <x:v>12557.29750386779</x:v>
      </x:c>
      <x:c r="R25" t="n">
        <x:v>2877.809740168065</x:v>
      </x:c>
      <x:c r="S25" t="n">
        <x:v>15838.23813205903</x:v>
      </x:c>
      <x:c r="T25" t="n">
        <x:v>11313.73394945985</x:v>
      </x:c>
      <x:c r="U25" t="n">
        <x:v>2592.816945477099</x:v>
      </x:c>
      <x:c r="V25" t="n">
        <x:v>471.085378247535</x:v>
      </x:c>
      <x:c r="W25" t="n">
        <x:v>880.4118920297688</x:v>
      </x:c>
      <x:c r="X25" t="n">
        <x:v>0.4610025996404689</x:v>
      </x:c>
      <x:c r="Y25" t="n">
        <x:v>0.8615681779170801</x:v>
      </x:c>
      <x:c r="Z25" t="n">
        <x:v>0.6885709010053843</x:v>
      </x:c>
    </x:row>
    <x:row r="26">
      <x:c r="A26" t="str">
        <x:v>2025년 4월 3일 ~ 4월 9일</x:v>
      </x:c>
      <x:c r="B26" s="9" t="str">
        <x:v>2025-04-07</x:v>
      </x:c>
      <x:c r="C26" t="n">
        <x:v>0.8914468363297812</x:v>
      </x:c>
      <x:c r="D26" t="n">
        <x:v>1105.625424763582</x:v>
      </x:c>
      <x:c r="E26" t="n">
        <x:v>26.75756861132333</x:v>
      </x:c>
      <x:c r="F26" t="n">
        <x:v>55.57383294565409</x:v>
      </x:c>
      <x:c r="G26" t="n">
        <x:v>1563.308766382449</x:v>
      </x:c>
      <x:c r="H26" t="n">
        <x:v>1.72832012123217</x:v>
      </x:c>
      <x:c r="I26" t="n">
        <x:v>43.10865123441752</x:v>
      </x:c>
      <x:c r="J26" t="n">
        <x:v>61.06425218877835</x:v>
      </x:c>
      <x:c r="K26" t="n">
        <x:v>60.47623160458193</x:v>
      </x:c>
      <x:c r="L26" t="n">
        <x:v>61.15953576275877</x:v>
      </x:c>
      <x:c r="M26" t="n">
        <x:v>8.120831556422472</x:v>
      </x:c>
      <x:c r="N26" t="n">
        <x:v>0.944491828431187</x:v>
      </x:c>
      <x:c r="O26" t="n">
        <x:v>1029244.807600972</x:v>
      </x:c>
      <x:c r="P26" t="n">
        <x:v>17348.24498168443</x:v>
      </x:c>
      <x:c r="Q26" t="n">
        <x:v>12283.86698642397</x:v>
      </x:c>
      <x:c r="R26" t="n">
        <x:v>2778.321147569854</x:v>
      </x:c>
      <x:c r="S26" t="n">
        <x:v>15690.88824580353</x:v>
      </x:c>
      <x:c r="T26" t="n">
        <x:v>11110.33331116697</x:v>
      </x:c>
      <x:c r="U26" t="n">
        <x:v>2512.895493664996</x:v>
      </x:c>
      <x:c r="V26" t="n">
        <x:v>468.3867500529939</x:v>
      </x:c>
      <x:c r="W26" t="n">
        <x:v>890.6800678343764</x:v>
      </x:c>
      <x:c r="X26" t="n">
        <x:v>0.4550780791838425</x:v>
      </x:c>
      <x:c r="Y26" t="n">
        <x:v>0.8653724179677222</x:v>
      </x:c>
      <x:c r="Z26" t="n">
        <x:v>0.6876927219721597</x:v>
      </x:c>
    </x:row>
    <x:row r="27">
      <x:c r="A27" t="str">
        <x:v>2025년 4월 3일 ~ 4월 9일</x:v>
      </x:c>
      <x:c r="B27" s="9" t="str">
        <x:v>2025-04-08</x:v>
      </x:c>
      <x:c r="C27" t="n">
        <x:v>0.8934179915657049</x:v>
      </x:c>
      <x:c r="D27" t="n">
        <x:v>1100.019138104774</x:v>
      </x:c>
      <x:c r="E27" t="n">
        <x:v>26.74029648411738</x:v>
      </x:c>
      <x:c r="F27" t="n">
        <x:v>55.8087988722331</x:v>
      </x:c>
      <x:c r="G27" t="n">
        <x:v>1572.839288771094</x:v>
      </x:c>
      <x:c r="H27" t="n">
        <x:v>1.741765148788498</x:v>
      </x:c>
      <x:c r="I27" t="n">
        <x:v>42.95951917866157</x:v>
      </x:c>
      <x:c r="J27" t="n">
        <x:v>61.13079476788457</x:v>
      </x:c>
      <x:c r="K27" t="n">
        <x:v>61.39794528535774</x:v>
      </x:c>
      <x:c r="L27" t="n">
        <x:v>61.02906043494821</x:v>
      </x:c>
      <x:c r="M27" t="n">
        <x:v>8.002010417492668</x:v>
      </x:c>
      <x:c r="N27" t="n">
        <x:v>0.9439695351779863</x:v>
      </x:c>
      <x:c r="O27" t="n">
        <x:v>1044254.833645132</x:v>
      </x:c>
      <x:c r="P27" t="n">
        <x:v>16675.30299012239</x:v>
      </x:c>
      <x:c r="Q27" t="n">
        <x:v>11992.21142515478</x:v>
      </x:c>
      <x:c r="R27" t="n">
        <x:v>2745.294336352876</x:v>
      </x:c>
      <x:c r="S27" t="n">
        <x:v>15159.10261238938</x:v>
      </x:c>
      <x:c r="T27" t="n">
        <x:v>10901.82071360703</x:v>
      </x:c>
      <x:c r="U27" t="n">
        <x:v>2495.678703447607</x:v>
      </x:c>
      <x:c r="V27" t="n">
        <x:v>483.5128642781495</x:v>
      </x:c>
      <x:c r="W27" t="n">
        <x:v>899.4423816021628</x:v>
      </x:c>
      <x:c r="X27" t="n">
        <x:v>0.4630219068178726</x:v>
      </x:c>
      <x:c r="Y27" t="n">
        <x:v>0.8613246045148967</x:v>
      </x:c>
      <x:c r="Z27" t="n">
        <x:v>0.721097997631293</x:v>
      </x:c>
    </x:row>
    <x:row r="28">
      <x:c r="A28" t="str">
        <x:v>2025년 4월 3일 ~ 4월 9일</x:v>
      </x:c>
      <x:c r="B28" s="9" t="str">
        <x:v>2025-04-09</x:v>
      </x:c>
      <x:c r="C28" t="n">
        <x:v>0.89389739219456</x:v>
      </x:c>
      <x:c r="D28" t="n">
        <x:v>1097.832899620674</x:v>
      </x:c>
      <x:c r="E28" t="n">
        <x:v>27.14767207896205</x:v>
      </x:c>
      <x:c r="F28" t="n">
        <x:v>55.11382882544668</x:v>
      </x:c>
      <x:c r="G28" t="n">
        <x:v>1585.540286854057</x:v>
      </x:c>
      <x:c r="H28" t="n">
        <x:v>1.741195318522038</x:v>
      </x:c>
      <x:c r="I28" t="n">
        <x:v>42.81519945169403</x:v>
      </x:c>
      <x:c r="J28" t="n">
        <x:v>61.1472089462467</x:v>
      </x:c>
      <x:c r="K28" t="n">
        <x:v>60.89732864370129</x:v>
      </x:c>
      <x:c r="L28" t="n">
        <x:v>61.20395784514</x:v>
      </x:c>
      <x:c r="M28" t="n">
        <x:v>8.131440072504603</x:v>
      </x:c>
      <x:c r="N28" t="n">
        <x:v>0.9533562400811992</x:v>
      </x:c>
      <x:c r="O28" t="n">
        <x:v>1042083.514227023</x:v>
      </x:c>
      <x:c r="P28" t="n">
        <x:v>17572.32998889242</x:v>
      </x:c>
      <x:c r="Q28" t="n">
        <x:v>11934.64174223144</x:v>
      </x:c>
      <x:c r="R28" t="n">
        <x:v>2782.151704593723</x:v>
      </x:c>
      <x:c r="S28" t="n">
        <x:v>16006.37947265386</x:v>
      </x:c>
      <x:c r="T28" t="n">
        <x:v>10871.09135311497</x:v>
      </x:c>
      <x:c r="U28" t="n">
        <x:v>2534.221469911332</x:v>
      </x:c>
      <x:c r="V28" t="n">
        <x:v>486.6822895305398</x:v>
      </x:c>
      <x:c r="W28" t="n">
        <x:v>886.6757204855124</x:v>
      </x:c>
      <x:c r="X28" t="n">
        <x:v>0.4670281056039369</x:v>
      </x:c>
      <x:c r="Y28" t="n">
        <x:v>0.850868196627421</x:v>
      </x:c>
      <x:c r="Z28" t="n">
        <x:v>0.7384539490161549</x:v>
      </x:c>
    </x:row>
    <x:row r="29">
      <x:c r="A29" t="str">
        <x:v>2025년 09월 21일</x:v>
      </x:c>
      <x:c r="B29" s="9" t="str">
        <x:v>2025-09-21</x:v>
      </x:c>
      <x:c r="C29" t="n">
        <x:v>0.9081358009633412</x:v>
      </x:c>
      <x:c r="D29" t="n">
        <x:v>1116.26509060544</x:v>
      </x:c>
      <x:c r="E29" t="n">
        <x:v>26.81246946327368</x:v>
      </x:c>
      <x:c r="F29" t="n">
        <x:v>55.98195793304887</x:v>
      </x:c>
      <x:c r="G29" t="n">
        <x:v>1590.115032475073</x:v>
      </x:c>
      <x:c r="H29" t="n">
        <x:v>1.724682463401797</x:v>
      </x:c>
      <x:c r="I29" t="n">
        <x:v>43.12027330260187</x:v>
      </x:c>
      <x:c r="J29" t="n">
        <x:v>61.12307292580252</x:v>
      </x:c>
      <x:c r="K29" t="n">
        <x:v>61.97593803812082</x:v>
      </x:c>
      <x:c r="L29" t="n">
        <x:v>60.9430290472522</x:v>
      </x:c>
      <x:c r="M29" t="n">
        <x:v>8.09901894180809</x:v>
      </x:c>
      <x:c r="N29" t="n">
        <x:v>0.9518018757152066</x:v>
      </x:c>
      <x:c r="O29" t="n">
        <x:v>1063514.977588905</x:v>
      </x:c>
      <x:c r="P29" t="n">
        <x:v>17660.2959031314</x:v>
      </x:c>
      <x:c r="Q29" t="n">
        <x:v>11806.06696754293</x:v>
      </x:c>
      <x:c r="R29" t="n">
        <x:v>2693.23220539673</x:v>
      </x:c>
      <x:c r="S29" t="n">
        <x:v>15820.87987142267</x:v>
      </x:c>
      <x:c r="T29" t="n">
        <x:v>10576.40077334995</x:v>
      </x:c>
      <x:c r="U29" t="n">
        <x:v>2412.717398459514</x:v>
      </x:c>
      <x:c r="V29" t="n">
        <x:v>495.3332499016522</x:v>
      </x:c>
      <x:c r="W29" t="n">
        <x:v>899.8813490695666</x:v>
      </x:c>
      <x:c r="X29" t="n">
        <x:v>0.4657510804639746</x:v>
      </x:c>
      <x:c r="Y29" t="n">
        <x:v>0.8461388584387293</x:v>
      </x:c>
      <x:c r="Z29" t="n">
        <x:v>0.76115327971408</x:v>
      </x:c>
    </x:row>
    <x:row r="30">
      <x:c r="A30" t="str">
        <x:v>2025.06.15</x:v>
      </x:c>
      <x:c r="B30" s="9" t="str">
        <x:v>2025-06-15</x:v>
      </x:c>
      <x:c r="C30" t="n">
        <x:v>0.887056759572385</x:v>
      </x:c>
      <x:c r="D30" t="n">
        <x:v>1109.364044101198</x:v>
      </x:c>
      <x:c r="E30" t="n">
        <x:v>27.44957397568753</x:v>
      </x:c>
      <x:c r="F30" t="n">
        <x:v>56.06435991958276</x:v>
      </x:c>
      <x:c r="G30" t="n">
        <x:v>1562.21088752628</x:v>
      </x:c>
      <x:c r="H30" t="n">
        <x:v>1.703088410305438</x:v>
      </x:c>
      <x:c r="I30" t="n">
        <x:v>43.1507276274863</x:v>
      </x:c>
      <x:c r="J30" t="n">
        <x:v>61.20558078439359</x:v>
      </x:c>
      <x:c r="K30" t="n">
        <x:v>60.96535101032516</x:v>
      </x:c>
      <x:c r="L30" t="n">
        <x:v>61.25438056865747</x:v>
      </x:c>
      <x:c r="M30" t="n">
        <x:v>8.020176143896487</x:v>
      </x:c>
      <x:c r="N30" t="n">
        <x:v>0.9413544534536379</x:v>
      </x:c>
      <x:c r="O30" t="n">
        <x:v>1036761.533737434</x:v>
      </x:c>
      <x:c r="P30" t="n">
        <x:v>17243.26144028521</x:v>
      </x:c>
      <x:c r="Q30" t="n">
        <x:v>12438.62528188875</x:v>
      </x:c>
      <x:c r="R30" t="n">
        <x:v>2790.864656176189</x:v>
      </x:c>
      <x:c r="S30" t="n">
        <x:v>15543.37508230279</x:v>
      </x:c>
      <x:c r="T30" t="n">
        <x:v>11212.39267490995</x:v>
      </x:c>
      <x:c r="U30" t="n">
        <x:v>2515.733830581589</x:v>
      </x:c>
      <x:c r="V30" t="n">
        <x:v>496.8012175073888</x:v>
      </x:c>
      <x:c r="W30" t="n">
        <x:v>897.0276865630493</x:v>
      </x:c>
      <x:c r="X30" t="n">
        <x:v>0.4791856192006507</x:v>
      </x:c>
      <x:c r="Y30" t="n">
        <x:v>0.8652208414111808</x:v>
      </x:c>
      <x:c r="Z30" t="n">
        <x:v>0.7404069787570894</x:v>
      </x:c>
    </x:row>
    <x:row r="31">
      <x:c r="A31" t="str">
        <x:v>2025.02.11</x:v>
      </x:c>
      <x:c r="B31" s="9" t="str">
        <x:v>2025-02-11</x:v>
      </x:c>
      <x:c r="C31" t="n">
        <x:v>0.9272007774582952</x:v>
      </x:c>
      <x:c r="D31" t="n">
        <x:v>1103.012647272732</x:v>
      </x:c>
      <x:c r="E31" t="n">
        <x:v>27.62896544552935</x:v>
      </x:c>
      <x:c r="F31" t="n">
        <x:v>55.1245218156858</x:v>
      </x:c>
      <x:c r="G31" t="n">
        <x:v>1556.39288366494</x:v>
      </x:c>
      <x:c r="H31" t="n">
        <x:v>1.744332262368654</x:v>
      </x:c>
      <x:c r="I31" t="n">
        <x:v>42.81873853248295</x:v>
      </x:c>
      <x:c r="J31" t="n">
        <x:v>60.81478477510134</x:v>
      </x:c>
      <x:c r="K31" t="n">
        <x:v>60.25096201981981</x:v>
      </x:c>
      <x:c r="L31" t="n">
        <x:v>60.64361836984235</x:v>
      </x:c>
      <x:c r="M31" t="n">
        <x:v>8.156411736177015</x:v>
      </x:c>
      <x:c r="N31" t="n">
        <x:v>0.933321803302234</x:v>
      </x:c>
      <x:c r="O31" t="n">
        <x:v>1028965.497344934</x:v>
      </x:c>
      <x:c r="P31" t="n">
        <x:v>18463.89905773315</x:v>
      </x:c>
      <x:c r="Q31" t="n">
        <x:v>12584.72129021882</x:v>
      </x:c>
      <x:c r="R31" t="n">
        <x:v>2986.908770455123</x:v>
      </x:c>
      <x:c r="S31" t="n">
        <x:v>16739.51708839088</x:v>
      </x:c>
      <x:c r="T31" t="n">
        <x:v>11409.40797128241</x:v>
      </x:c>
      <x:c r="U31" t="n">
        <x:v>2707.955142527552</x:v>
      </x:c>
      <x:c r="V31" t="n">
        <x:v>491.0741452597044</x:v>
      </x:c>
      <x:c r="W31" t="n">
        <x:v>877.9296965434368</x:v>
      </x:c>
      <x:c r="X31" t="n">
        <x:v>0.4772503514712939</x:v>
      </x:c>
      <x:c r="Y31" t="n">
        <x:v>0.8532158743988805</x:v>
      </x:c>
      <x:c r="Z31" t="n">
        <x:v>0.6984803349245973</x:v>
      </x:c>
    </x:row>
    <x:row r="32">
      <x:c r="A32" t="str">
        <x:v>2024.10.11 ~ 10.15</x:v>
      </x:c>
      <x:c r="B32" s="9" t="str">
        <x:v>2024-10-11</x:v>
      </x:c>
      <x:c r="C32" t="n">
        <x:v>0.9218540323588824</x:v>
      </x:c>
      <x:c r="D32" t="n">
        <x:v>1126.462672093019</x:v>
      </x:c>
      <x:c r="E32" t="n">
        <x:v>27.17221492859336</x:v>
      </x:c>
      <x:c r="F32" t="n">
        <x:v>55.70631545584405</x:v>
      </x:c>
      <x:c r="G32" t="n">
        <x:v>1614.239349330463</x:v>
      </x:c>
      <x:c r="H32" t="n">
        <x:v>1.745659733261479</x:v>
      </x:c>
      <x:c r="I32" t="n">
        <x:v>42.9471440987834</x:v>
      </x:c>
      <x:c r="J32" t="n">
        <x:v>70.63115648780855</x:v>
      </x:c>
      <x:c r="K32" t="n">
        <x:v>61.55614743498379</x:v>
      </x:c>
      <x:c r="L32" t="n">
        <x:v>60.78040709382903</x:v>
      </x:c>
      <x:c r="M32" t="n">
        <x:v>8.067091920430268</x:v>
      </x:c>
      <x:c r="N32" t="n">
        <x:v>0.9436494148078736</x:v>
      </x:c>
      <x:c r="O32" t="n">
        <x:v>1074681.285984773</x:v>
      </x:c>
      <x:c r="P32" t="n">
        <x:v>18933.95523794834</x:v>
      </x:c>
      <x:c r="Q32" t="n">
        <x:v>12369.31538288368</x:v>
      </x:c>
      <x:c r="R32" t="n">
        <x:v>2948.968962872354</x:v>
      </x:c>
      <x:c r="S32" t="n">
        <x:v>16808.32903479011</x:v>
      </x:c>
      <x:c r="T32" t="n">
        <x:v>10980.6704556849</x:v>
      </x:c>
      <x:c r="U32" t="n">
        <x:v>2617.902071617727</x:v>
      </x:c>
      <x:c r="V32" t="n">
        <x:v>504.2958637447691</x:v>
      </x:c>
      <x:c r="W32" t="n">
        <x:v>901.4639692684316</x:v>
      </x:c>
      <x:c r="X32" t="n">
        <x:v>0.4692515542249002</x:v>
      </x:c>
      <x:c r="Y32" t="n">
        <x:v>0.8388198259564785</x:v>
      </x:c>
      <x:c r="Z32" t="n">
        <x:v>0.7752365438866984</x:v>
      </x:c>
    </x:row>
    <x:row r="33">
      <x:c r="A33" t="str">
        <x:v>2024.10.11 ~ 10.15</x:v>
      </x:c>
      <x:c r="B33" s="9" t="str">
        <x:v>2024-10-12</x:v>
      </x:c>
      <x:c r="C33" t="n">
        <x:v>0.883748625455926</x:v>
      </x:c>
      <x:c r="D33" t="n">
        <x:v>1112.634705820915</x:v>
      </x:c>
      <x:c r="E33" t="n">
        <x:v>26.870008939748</x:v>
      </x:c>
      <x:c r="F33" t="n">
        <x:v>54.9372063909446</x:v>
      </x:c>
      <x:c r="G33" t="n">
        <x:v>1608.271050338488</x:v>
      </x:c>
      <x:c r="H33" t="n">
        <x:v>1.733036450100605</x:v>
      </x:c>
      <x:c r="I33" t="n">
        <x:v>43.08201443306283</x:v>
      </x:c>
      <x:c r="J33" t="n">
        <x:v>70.92388563738575</x:v>
      </x:c>
      <x:c r="K33" t="n">
        <x:v>60.98854744355794</x:v>
      </x:c>
      <x:c r="L33" t="n">
        <x:v>60.3778578744485</x:v>
      </x:c>
      <x:c r="M33" t="n">
        <x:v>8.054928078697245</x:v>
      </x:c>
      <x:c r="N33" t="n">
        <x:v>0.9507190342152257</x:v>
      </x:c>
      <x:c r="O33" t="n">
        <x:v>1067006.455607825</x:v>
      </x:c>
      <x:c r="P33" t="n">
        <x:v>17051.14910844441</x:v>
      </x:c>
      <x:c r="Q33" t="n">
        <x:v>11049.45870424684</x:v>
      </x:c>
      <x:c r="R33" t="n">
        <x:v>2791.528876561825</x:v>
      </x:c>
      <x:c r="S33" t="n">
        <x:v>15325.01999015379</x:v>
      </x:c>
      <x:c r="T33" t="n">
        <x:v>9930.89524031557</x:v>
      </x:c>
      <x:c r="U33" t="n">
        <x:v>2508.935647933256</x:v>
      </x:c>
      <x:c r="V33" t="n">
        <x:v>505.1234520733333</x:v>
      </x:c>
      <x:c r="W33" t="n">
        <x:v>884.9759690751189</x:v>
      </x:c>
      <x:c r="X33" t="n">
        <x:v>0.4734024329642763</x:v>
      </x:c>
      <x:c r="Y33" t="n">
        <x:v>0.82940076362611</x:v>
      </x:c>
      <x:c r="Z33" t="n">
        <x:v>0.786824794315439</x:v>
      </x:c>
    </x:row>
    <x:row r="34">
      <x:c r="A34" t="str">
        <x:v>2024.10.11 ~ 10.15</x:v>
      </x:c>
      <x:c r="B34" s="9" t="str">
        <x:v>2024-10-13</x:v>
      </x:c>
      <x:c r="C34" t="n">
        <x:v>0.8815874600175481</x:v>
      </x:c>
      <x:c r="D34" t="n">
        <x:v>1107.373214962813</x:v>
      </x:c>
      <x:c r="E34" t="n">
        <x:v>26.78497585637522</x:v>
      </x:c>
      <x:c r="F34" t="n">
        <x:v>54.84220257188375</x:v>
      </x:c>
      <x:c r="G34" t="n">
        <x:v>1584.680279962937</x:v>
      </x:c>
      <x:c r="H34" t="n">
        <x:v>1.744686850415632</x:v>
      </x:c>
      <x:c r="I34" t="n">
        <x:v>43.01821987814872</x:v>
      </x:c>
      <x:c r="J34" t="n">
        <x:v>70.68559195725203</x:v>
      </x:c>
      <x:c r="K34" t="n">
        <x:v>60.07490055556357</x:v>
      </x:c>
      <x:c r="L34" t="n">
        <x:v>60.55214786369359</x:v>
      </x:c>
      <x:c r="M34" t="n">
        <x:v>8.067912853552253</x:v>
      </x:c>
      <x:c r="N34" t="n">
        <x:v>0.9410666246851548</x:v>
      </x:c>
      <x:c r="O34" t="n">
        <x:v>1055307.323865211</x:v>
      </x:c>
      <x:c r="P34" t="n">
        <x:v>16716.16200206789</x:v>
      </x:c>
      <x:c r="Q34" t="n">
        <x:v>11483.88762830495</x:v>
      </x:c>
      <x:c r="R34" t="n">
        <x:v>2679.317880865871</x:v>
      </x:c>
      <x:c r="S34" t="n">
        <x:v>15095.32809372605</x:v>
      </x:c>
      <x:c r="T34" t="n">
        <x:v>10370.38594859873</x:v>
      </x:c>
      <x:c r="U34" t="n">
        <x:v>2419.525634775125</x:v>
      </x:c>
      <x:c r="V34" t="n">
        <x:v>493.6327704311771</x:v>
      </x:c>
      <x:c r="W34" t="n">
        <x:v>885.2674372106256</x:v>
      </x:c>
      <x:c r="X34" t="n">
        <x:v>0.4677621004497322</x:v>
      </x:c>
      <x:c r="Y34" t="n">
        <x:v>0.8388716890243965</x:v>
      </x:c>
      <x:c r="Z34" t="n">
        <x:v>0.8251982411070958</x:v>
      </x:c>
    </x:row>
    <x:row r="35">
      <x:c r="A35" t="str">
        <x:v>2024.10.11 ~ 10.15</x:v>
      </x:c>
      <x:c r="B35" s="9" t="str">
        <x:v>2024-10-14</x:v>
      </x:c>
      <x:c r="C35" t="n">
        <x:v>0.8917051105499145</x:v>
      </x:c>
      <x:c r="D35" t="n">
        <x:v>1092.926345766373</x:v>
      </x:c>
      <x:c r="E35" t="n">
        <x:v>26.79524493028984</x:v>
      </x:c>
      <x:c r="F35" t="n">
        <x:v>55.41983513285746</x:v>
      </x:c>
      <x:c r="G35" t="n">
        <x:v>1525.982664462367</x:v>
      </x:c>
      <x:c r="H35" t="n">
        <x:v>1.747184602883541</x:v>
      </x:c>
      <x:c r="I35" t="n">
        <x:v>43.01452785555507</x:v>
      </x:c>
      <x:c r="J35" t="n">
        <x:v>69.28706020327486</x:v>
      </x:c>
      <x:c r="K35" t="n">
        <x:v>59.37456576550292</x:v>
      </x:c>
      <x:c r="L35" t="n">
        <x:v>60.62299253248845</x:v>
      </x:c>
      <x:c r="M35" t="n">
        <x:v>8.045214015076292</x:v>
      </x:c>
      <x:c r="N35" t="n">
        <x:v>0.9389332377108303</x:v>
      </x:c>
      <x:c r="O35" t="n">
        <x:v>1018427.955919989</x:v>
      </x:c>
      <x:c r="P35" t="n">
        <x:v>16236.40920434051</x:v>
      </x:c>
      <x:c r="Q35" t="n">
        <x:v>11626.99477223589</x:v>
      </x:c>
      <x:c r="R35" t="n">
        <x:v>2661.381872562703</x:v>
      </x:c>
      <x:c r="S35" t="n">
        <x:v>14855.90430428809</x:v>
      </x:c>
      <x:c r="T35" t="n">
        <x:v>10638.4065287427</x:v>
      </x:c>
      <x:c r="U35" t="n">
        <x:v>2435.097189185709</x:v>
      </x:c>
      <x:c r="V35" t="n">
        <x:v>480.6963465523007</x:v>
      </x:c>
      <x:c r="W35" t="n">
        <x:v>879.509285215952</x:v>
      </x:c>
      <x:c r="X35" t="n">
        <x:v>0.4719983811894356</x:v>
      </x:c>
      <x:c r="Y35" t="n">
        <x:v>0.8635949947205189</x:v>
      </x:c>
      <x:c r="Z35" t="n">
        <x:v>0.8201058486007197</x:v>
      </x:c>
    </x:row>
    <x:row r="36">
      <x:c r="A36" t="str">
        <x:v>2024.10.11 ~ 10.15</x:v>
      </x:c>
      <x:c r="B36" s="9" t="str">
        <x:v>2024-10-15</x:v>
      </x:c>
      <x:c r="C36" t="n">
        <x:v>0.8978726173116091</x:v>
      </x:c>
      <x:c r="D36" t="n">
        <x:v>1105.904898481786</x:v>
      </x:c>
      <x:c r="E36" t="n">
        <x:v>26.92419030749583</x:v>
      </x:c>
      <x:c r="F36" t="n">
        <x:v>55.43054763182669</x:v>
      </x:c>
      <x:c r="G36" t="n">
        <x:v>1563.023398014557</x:v>
      </x:c>
      <x:c r="H36" t="n">
        <x:v>1.727844387405364</x:v>
      </x:c>
      <x:c r="I36" t="n">
        <x:v>43.23913339032489</x:v>
      </x:c>
      <x:c r="J36" t="n">
        <x:v>65.98288259466595</x:v>
      </x:c>
      <x:c r="K36" t="n">
        <x:v>61.42836035989885</x:v>
      </x:c>
      <x:c r="L36" t="n">
        <x:v>60.60849291091327</x:v>
      </x:c>
      <x:c r="M36" t="n">
        <x:v>8.06983774143684</x:v>
      </x:c>
      <x:c r="N36" t="n">
        <x:v>0.9331519984306862</x:v>
      </x:c>
      <x:c r="O36" t="n">
        <x:v>1042561.083789536</x:v>
      </x:c>
      <x:c r="P36" t="n">
        <x:v>17215.98620150872</x:v>
      </x:c>
      <x:c r="Q36" t="n">
        <x:v>12026.04345345428</x:v>
      </x:c>
      <x:c r="R36" t="n">
        <x:v>2827.513879527698</x:v>
      </x:c>
      <x:c r="S36" t="n">
        <x:v>15567.32972712505</x:v>
      </x:c>
      <x:c r="T36" t="n">
        <x:v>10874.3920656866</x:v>
      </x:c>
      <x:c r="U36" t="n">
        <x:v>2556.742341415957</x:v>
      </x:c>
      <x:c r="V36" t="n">
        <x:v>487.2423845021582</x:v>
      </x:c>
      <x:c r="W36" t="n">
        <x:v>893.4624026337478</x:v>
      </x:c>
      <x:c r="X36" t="n">
        <x:v>0.4673514023093142</x:v>
      </x:c>
      <x:c r="Y36" t="n">
        <x:v>0.8569880619235858</x:v>
      </x:c>
      <x:c r="Z36" t="n">
        <x:v>0.7737859973052624</x:v>
      </x:c>
    </x:row>
    <x:row r="37">
      <x:c r="A37" t="str">
        <x:v>2025.09.11 ~ 09.16</x:v>
      </x:c>
      <x:c r="B37" s="9" t="str">
        <x:v>2025-09-11</x:v>
      </x:c>
      <x:c r="C37" t="n">
        <x:v>0.9033496264627096</x:v>
      </x:c>
      <x:c r="D37" t="n">
        <x:v>1130.408914574326</x:v>
      </x:c>
      <x:c r="E37" t="n">
        <x:v>27.04070694961056</x:v>
      </x:c>
      <x:c r="F37" t="n">
        <x:v>55.97826400066666</x:v>
      </x:c>
      <x:c r="G37" t="n">
        <x:v>1591.951202569905</x:v>
      </x:c>
      <x:c r="H37" t="n">
        <x:v>1.718320689236821</x:v>
      </x:c>
      <x:c r="I37" t="n">
        <x:v>43.23622774848786</x:v>
      </x:c>
      <x:c r="J37" t="n">
        <x:v>60.72353402734732</x:v>
      </x:c>
      <x:c r="K37" t="n">
        <x:v>61.85346380635087</x:v>
      </x:c>
      <x:c r="L37" t="n">
        <x:v>61.01840580203114</x:v>
      </x:c>
      <x:c r="M37" t="n">
        <x:v>8.063412371349212</x:v>
      </x:c>
      <x:c r="N37" t="n">
        <x:v>0.9408767191712571</x:v>
      </x:c>
      <x:c r="O37" t="n">
        <x:v>1047770.40709812</x:v>
      </x:c>
      <x:c r="P37" t="n">
        <x:v>17978.51702174674</x:v>
      </x:c>
      <x:c r="Q37" t="n">
        <x:v>12011.46987260745</x:v>
      </x:c>
      <x:c r="R37" t="n">
        <x:v>2975.754011585936</x:v>
      </x:c>
      <x:c r="S37" t="n">
        <x:v>15904.43669538544</x:v>
      </x:c>
      <x:c r="T37" t="n">
        <x:v>10625.77419351878</x:v>
      </x:c>
      <x:c r="U37" t="n">
        <x:v>2632.458018704235</x:v>
      </x:c>
      <x:c r="V37" t="n">
        <x:v>491.1139689564153</x:v>
      </x:c>
      <x:c r="W37" t="n">
        <x:v>895.1673968915736</x:v>
      </x:c>
      <x:c r="X37" t="n">
        <x:v>0.4687228858816436</x:v>
      </x:c>
      <x:c r="Y37" t="n">
        <x:v>0.8543545330420316</x:v>
      </x:c>
      <x:c r="Z37" t="n">
        <x:v>0.780627153276849</x:v>
      </x:c>
    </x:row>
    <x:row r="38">
      <x:c r="A38" t="str">
        <x:v>2025.09.11 ~ 09.16</x:v>
      </x:c>
      <x:c r="B38" s="9" t="str">
        <x:v>2025-09-12</x:v>
      </x:c>
      <x:c r="C38" t="n">
        <x:v>0.875417939348615</x:v>
      </x:c>
      <x:c r="D38" t="n">
        <x:v>1121.161397694211</x:v>
      </x:c>
      <x:c r="E38" t="n">
        <x:v>27.12412342209667</x:v>
      </x:c>
      <x:c r="F38" t="n">
        <x:v>55.69198404543521</x:v>
      </x:c>
      <x:c r="G38" t="n">
        <x:v>1574.879598606529</x:v>
      </x:c>
      <x:c r="H38" t="n">
        <x:v>1.719155523147736</x:v>
      </x:c>
      <x:c r="I38" t="n">
        <x:v>42.91624560627032</x:v>
      </x:c>
      <x:c r="J38" t="n">
        <x:v>60.78525969558849</x:v>
      </x:c>
      <x:c r="K38" t="n">
        <x:v>62.49016671043162</x:v>
      </x:c>
      <x:c r="L38" t="n">
        <x:v>60.45554988036987</x:v>
      </x:c>
      <x:c r="M38" t="n">
        <x:v>8.00067173981167</x:v>
      </x:c>
      <x:c r="N38" t="n">
        <x:v>0.9244638234005788</x:v>
      </x:c>
      <x:c r="O38" t="n">
        <x:v>1033642.873329967</x:v>
      </x:c>
      <x:c r="P38" t="n">
        <x:v>16905.02650205959</x:v>
      </x:c>
      <x:c r="Q38" t="n">
        <x:v>11595.03993650359</x:v>
      </x:c>
      <x:c r="R38" t="n">
        <x:v>2860.666590317341</x:v>
      </x:c>
      <x:c r="S38" t="n">
        <x:v>15078.13820278382</x:v>
      </x:c>
      <x:c r="T38" t="n">
        <x:v>10341.98997606414</x:v>
      </x:c>
      <x:c r="U38" t="n">
        <x:v>2551.520767840035</x:v>
      </x:c>
      <x:c r="V38" t="n">
        <x:v>483.7504137914732</x:v>
      </x:c>
      <x:c r="W38" t="n">
        <x:v>885.4546818989519</x:v>
      </x:c>
      <x:c r="X38" t="n">
        <x:v>0.4680053684625435</x:v>
      </x:c>
      <x:c r="Y38" t="n">
        <x:v>0.8566350184821435</x:v>
      </x:c>
      <x:c r="Z38" t="n">
        <x:v>0.7995307818815419</x:v>
      </x:c>
    </x:row>
    <x:row r="39">
      <x:c r="A39" t="str">
        <x:v>2025.09.11 ~ 09.16</x:v>
      </x:c>
      <x:c r="B39" s="9" t="str">
        <x:v>2025-09-13</x:v>
      </x:c>
      <x:c r="C39" t="n">
        <x:v>0.901544239653477</x:v>
      </x:c>
      <x:c r="D39" t="n">
        <x:v>1107.104759035942</x:v>
      </x:c>
      <x:c r="E39" t="n">
        <x:v>27.04391061549858</x:v>
      </x:c>
      <x:c r="F39" t="n">
        <x:v>55.36968121429953</x:v>
      </x:c>
      <x:c r="G39" t="n">
        <x:v>1569.764880843117</x:v>
      </x:c>
      <x:c r="H39" t="n">
        <x:v>1.706656267750189</x:v>
      </x:c>
      <x:c r="I39" t="n">
        <x:v>42.86162257104377</x:v>
      </x:c>
      <x:c r="J39" t="n">
        <x:v>60.39543244321069</x:v>
      </x:c>
      <x:c r="K39" t="n">
        <x:v>61.42277140418521</x:v>
      </x:c>
      <x:c r="L39" t="n">
        <x:v>60.83089378779297</x:v>
      </x:c>
      <x:c r="M39" t="n">
        <x:v>8.020524984535651</x:v>
      </x:c>
      <x:c r="N39" t="n">
        <x:v>0.9395201880755071</x:v>
      </x:c>
      <x:c r="O39" t="n">
        <x:v>1052765.286441501</x:v>
      </x:c>
      <x:c r="P39" t="n">
        <x:v>17588.93421986845</x:v>
      </x:c>
      <x:c r="Q39" t="n">
        <x:v>11765.08096801266</x:v>
      </x:c>
      <x:c r="R39" t="n">
        <x:v>2805.56303424742</x:v>
      </x:c>
      <x:c r="S39" t="n">
        <x:v>15887.32599721164</x:v>
      </x:c>
      <x:c r="T39" t="n">
        <x:v>10626.89042928295</x:v>
      </x:c>
      <x:c r="U39" t="n">
        <x:v>2534.144137082818</x:v>
      </x:c>
      <x:c r="V39" t="n">
        <x:v>489.7350937394599</x:v>
      </x:c>
      <x:c r="W39" t="n">
        <x:v>888.5495987841668</x:v>
      </x:c>
      <x:c r="X39" t="n">
        <x:v>0.4651892497280521</x:v>
      </x:c>
      <x:c r="Y39" t="n">
        <x:v>0.8440149102822272</x:v>
      </x:c>
      <x:c r="Z39" t="n">
        <x:v>0.7995991929485453</x:v>
      </x:c>
    </x:row>
    <x:row r="40">
      <x:c r="A40" t="str">
        <x:v>2025.09.11 ~ 09.16</x:v>
      </x:c>
      <x:c r="B40" s="9" t="str">
        <x:v>2025-09-14</x:v>
      </x:c>
      <x:c r="C40" t="n">
        <x:v>0.9041058687503112</x:v>
      </x:c>
      <x:c r="D40" t="n">
        <x:v>1123.126933772434</x:v>
      </x:c>
      <x:c r="E40" t="n">
        <x:v>26.89935677325338</x:v>
      </x:c>
      <x:c r="F40" t="n">
        <x:v>55.70540463868599</x:v>
      </x:c>
      <x:c r="G40" t="n">
        <x:v>1567.103755970924</x:v>
      </x:c>
      <x:c r="H40" t="n">
        <x:v>1.740978626458303</x:v>
      </x:c>
      <x:c r="I40" t="n">
        <x:v>42.93456511263457</x:v>
      </x:c>
      <x:c r="J40" t="n">
        <x:v>60.73676544454472</x:v>
      </x:c>
      <x:c r="K40" t="n">
        <x:v>61.53407646504056</x:v>
      </x:c>
      <x:c r="L40" t="n">
        <x:v>61.2043913800233</x:v>
      </x:c>
      <x:c r="M40" t="n">
        <x:v>8.104961694264306</x:v>
      </x:c>
      <x:c r="N40" t="n">
        <x:v>0.9414572489033642</x:v>
      </x:c>
      <x:c r="O40" t="n">
        <x:v>1051898.117916781</x:v>
      </x:c>
      <x:c r="P40" t="n">
        <x:v>18081.153033836</x:v>
      </x:c>
      <x:c r="Q40" t="n">
        <x:v>11808.40187836914</x:v>
      </x:c>
      <x:c r="R40" t="n">
        <x:v>2961.07919386075</x:v>
      </x:c>
      <x:c r="S40" t="n">
        <x:v>16098.93992400645</x:v>
      </x:c>
      <x:c r="T40" t="n">
        <x:v>10513.86225660735</x:v>
      </x:c>
      <x:c r="U40" t="n">
        <x:v>2636.459962646322</x:v>
      </x:c>
      <x:c r="V40" t="n">
        <x:v>495.2822521517792</x:v>
      </x:c>
      <x:c r="W40" t="n">
        <x:v>893.0419433474003</x:v>
      </x:c>
      <x:c r="X40" t="n">
        <x:v>0.4708462195299435</x:v>
      </x:c>
      <x:c r="Y40" t="n">
        <x:v>0.8489814062183269</x:v>
      </x:c>
      <x:c r="Z40" t="n">
        <x:v>0.8223304149425404</x:v>
      </x:c>
    </x:row>
    <x:row r="41">
      <x:c r="A41" t="str">
        <x:v>2025.09.11 ~ 09.16</x:v>
      </x:c>
      <x:c r="B41" s="9" t="str">
        <x:v>2025-09-15</x:v>
      </x:c>
      <x:c r="C41" t="n">
        <x:v>0.8977362468022022</x:v>
      </x:c>
      <x:c r="D41" t="n">
        <x:v>1112.811893833774</x:v>
      </x:c>
      <x:c r="E41" t="n">
        <x:v>26.92528036191155</x:v>
      </x:c>
      <x:c r="F41" t="n">
        <x:v>54.96908635345878</x:v>
      </x:c>
      <x:c r="G41" t="n">
        <x:v>1606.812820453364</x:v>
      </x:c>
      <x:c r="H41" t="n">
        <x:v>1.728441249046743</x:v>
      </x:c>
      <x:c r="I41" t="n">
        <x:v>43.01627428130371</x:v>
      </x:c>
      <x:c r="J41" t="n">
        <x:v>60.99076438331411</x:v>
      </x:c>
      <x:c r="K41" t="n">
        <x:v>62.94866048956339</x:v>
      </x:c>
      <x:c r="L41" t="n">
        <x:v>61.16651105831101</x:v>
      </x:c>
      <x:c r="M41" t="n">
        <x:v>8.149856522841732</x:v>
      </x:c>
      <x:c r="N41" t="n">
        <x:v>0.9442021485526789</x:v>
      </x:c>
      <x:c r="O41" t="n">
        <x:v>1056436.570667152</x:v>
      </x:c>
      <x:c r="P41" t="n">
        <x:v>17131.17633587979</x:v>
      </x:c>
      <x:c r="Q41" t="n">
        <x:v>12278.69794955342</x:v>
      </x:c>
      <x:c r="R41" t="n">
        <x:v>2857.616347020441</x:v>
      </x:c>
      <x:c r="S41" t="n">
        <x:v>15394.49428138369</x:v>
      </x:c>
      <x:c r="T41" t="n">
        <x:v>11033.93845589823</x:v>
      </x:c>
      <x:c r="U41" t="n">
        <x:v>2567.923979654459</x:v>
      </x:c>
      <x:c r="V41" t="n">
        <x:v>496.9170042708127</x:v>
      </x:c>
      <x:c r="W41" t="n">
        <x:v>883.0920542151074</x:v>
      </x:c>
      <x:c r="X41" t="n">
        <x:v>0.4703708846021902</x:v>
      </x:c>
      <x:c r="Y41" t="n">
        <x:v>0.8359158313285426</x:v>
      </x:c>
      <x:c r="Z41" t="n">
        <x:v>0.8127620547313229</x:v>
      </x:c>
    </x:row>
    <x:row r="42">
      <x:c r="A42" t="str">
        <x:v>2025.09.11 ~ 09.16</x:v>
      </x:c>
      <x:c r="B42" s="9" t="str">
        <x:v>2025-09-16</x:v>
      </x:c>
      <x:c r="C42" t="n">
        <x:v>0.903810008889161</x:v>
      </x:c>
      <x:c r="D42" t="n">
        <x:v>1103.405755557476</x:v>
      </x:c>
      <x:c r="E42" t="n">
        <x:v>26.88846176263511</x:v>
      </x:c>
      <x:c r="F42" t="n">
        <x:v>55.20200157391302</x:v>
      </x:c>
      <x:c r="G42" t="n">
        <x:v>1573.693270990325</x:v>
      </x:c>
      <x:c r="H42" t="n">
        <x:v>1.72488154529214</x:v>
      </x:c>
      <x:c r="I42" t="n">
        <x:v>42.94416030259253</x:v>
      </x:c>
      <x:c r="J42" t="n">
        <x:v>60.95098451246478</x:v>
      </x:c>
      <x:c r="K42" t="n">
        <x:v>61.94833022868705</x:v>
      </x:c>
      <x:c r="L42" t="n">
        <x:v>61.21877927840735</x:v>
      </x:c>
      <x:c r="M42" t="n">
        <x:v>8.191396796927648</x:v>
      </x:c>
      <x:c r="N42" t="n">
        <x:v>0.9516410559123479</x:v>
      </x:c>
      <x:c r="O42" t="n">
        <x:v>1037871.581276113</x:v>
      </x:c>
      <x:c r="P42" t="n">
        <x:v>17644.95401513147</x:v>
      </x:c>
      <x:c r="Q42" t="n">
        <x:v>12203.12859899502</x:v>
      </x:c>
      <x:c r="R42" t="n">
        <x:v>2903.520162536411</x:v>
      </x:c>
      <x:c r="S42" t="n">
        <x:v>15991.35578753319</x:v>
      </x:c>
      <x:c r="T42" t="n">
        <x:v>11059.51146034181</x:v>
      </x:c>
      <x:c r="U42" t="n">
        <x:v>2631.416546372337</x:v>
      </x:c>
      <x:c r="V42" t="n">
        <x:v>493.2429924959957</x:v>
      </x:c>
      <x:c r="W42" t="n">
        <x:v>881.2087726292634</x:v>
      </x:c>
      <x:c r="X42" t="n">
        <x:v>0.4752447233303467</x:v>
      </x:c>
      <x:c r="Y42" t="n">
        <x:v>0.8490537639982155</x:v>
      </x:c>
      <x:c r="Z42" t="n">
        <x:v>0.7993220035959424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조회기간</x:v>
      </x:c>
      <x:c r="B1" s="3" t="str">
        <x:v>KPI_U04_STEAM_M01</x:v>
      </x:c>
      <x:c r="C1" s="3" t="str">
        <x:v>KPI_U04_STEAM_M02</x:v>
      </x:c>
      <x:c r="D1" s="3" t="str">
        <x:v>KPI_U04_STEAM_M03</x:v>
      </x:c>
      <x:c r="E1" s="3" t="str">
        <x:v>KPI_U04_STEAM_M04</x:v>
      </x:c>
      <x:c r="F1" s="3" t="str">
        <x:v>KPI_U04_STEAM_M05</x:v>
      </x:c>
      <x:c r="G1" s="3" t="str">
        <x:v>KPI_U04_STEAM_M06</x:v>
      </x:c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2024년 2월 14일 ~ 2월 22일</x:v>
      </x:c>
      <x:c r="B2" t="n">
        <x:v>0.2472551384119987</x:v>
      </x:c>
      <x:c r="C2" t="n">
        <x:v>0.2488873007068763</x:v>
      </x:c>
      <x:c r="D2" t="n">
        <x:v>0.2548637611086049</x:v>
      </x:c>
      <x:c r="E2" t="n">
        <x:v>0.2540661710499691</x:v>
      </x:c>
      <x:c r="F2" t="n">
        <x:v>0.2526374582078598</x:v>
      </x:c>
      <x:c r="G2" t="n">
        <x:v>0.2568686616642965</x:v>
      </x:c>
      <x:c r="H2"/>
      <x:c r="I2"/>
      <x:c r="J2"/>
      <x:c r="K2"/>
      <x:c r="L2"/>
      <x:c r="M2"/>
      <x:c r="N2"/>
      <x:c r="O2"/>
      <x:c r="P2"/>
      <x:c r="Q2"/>
      <x:c r="R2"/>
    </x:row>
    <x:row r="3">
      <x:c r="A3" t="str">
        <x:v>2024년 2월 14일 ~ 2월 22일</x:v>
      </x:c>
      <x:c r="B3" t="n">
        <x:v>0.2412966932677937</x:v>
      </x:c>
      <x:c r="C3" t="n">
        <x:v>0.2459350918306452</x:v>
      </x:c>
      <x:c r="D3" t="n">
        <x:v>0.239827124982787</x:v>
      </x:c>
      <x:c r="E3" t="n">
        <x:v>0.2500824788706674</x:v>
      </x:c>
      <x:c r="F3" t="n">
        <x:v>0.2498702084383094</x:v>
      </x:c>
      <x:c r="G3" t="n">
        <x:v>0.2478781398979477</x:v>
      </x:c>
      <x:c r="H3"/>
      <x:c r="I3"/>
      <x:c r="J3"/>
      <x:c r="K3"/>
      <x:c r="L3"/>
      <x:c r="M3"/>
      <x:c r="N3"/>
      <x:c r="O3"/>
      <x:c r="P3"/>
      <x:c r="Q3"/>
      <x:c r="R3"/>
    </x:row>
    <x:row r="4">
      <x:c r="A4" t="str">
        <x:v>2024년 2월 14일 ~ 2월 22일</x:v>
      </x:c>
      <x:c r="B4" t="n">
        <x:v>0.2531696625245365</x:v>
      </x:c>
      <x:c r="C4" t="n">
        <x:v>0.2412936591241271</x:v>
      </x:c>
      <x:c r="D4" t="n">
        <x:v>0.2402681818618007</x:v>
      </x:c>
      <x:c r="E4" t="n">
        <x:v>0.2500619957098064</x:v>
      </x:c>
      <x:c r="F4" t="n">
        <x:v>0.2512346398334337</x:v>
      </x:c>
      <x:c r="G4" t="n">
        <x:v>0.2479724518436969</x:v>
      </x:c>
      <x:c r="H4"/>
      <x:c r="I4"/>
      <x:c r="J4"/>
      <x:c r="K4"/>
      <x:c r="L4"/>
      <x:c r="M4"/>
      <x:c r="N4"/>
      <x:c r="O4"/>
      <x:c r="P4"/>
      <x:c r="Q4"/>
      <x:c r="R4"/>
    </x:row>
    <x:row r="5">
      <x:c r="A5" t="str">
        <x:v>2024년 2월 14일 ~ 2월 22일</x:v>
      </x:c>
      <x:c r="B5" t="n">
        <x:v>0.2526216615561918</x:v>
      </x:c>
      <x:c r="C5" t="n">
        <x:v>0.2529302973563186</x:v>
      </x:c>
      <x:c r="D5" t="n">
        <x:v>0.2418791012953817</x:v>
      </x:c>
      <x:c r="E5" t="n">
        <x:v>0.2509675813607474</x:v>
      </x:c>
      <x:c r="F5" t="n">
        <x:v>0.2507438447093189</x:v>
      </x:c>
      <x:c r="G5" t="n">
        <x:v>0.2583862457156897</x:v>
      </x:c>
      <x:c r="H5"/>
      <x:c r="I5"/>
      <x:c r="J5"/>
      <x:c r="K5"/>
      <x:c r="L5"/>
      <x:c r="M5"/>
      <x:c r="N5"/>
      <x:c r="O5"/>
      <x:c r="P5"/>
      <x:c r="Q5"/>
      <x:c r="R5"/>
    </x:row>
    <x:row r="6">
      <x:c r="A6" t="str">
        <x:v>2024년 2월 14일 ~ 2월 22일</x:v>
      </x:c>
      <x:c r="B6" t="n">
        <x:v>0.2509899943502062</x:v>
      </x:c>
      <x:c r="C6" t="n">
        <x:v>0.2513395404818458</x:v>
      </x:c>
      <x:c r="D6" t="n">
        <x:v>0.2481924934433782</x:v>
      </x:c>
      <x:c r="E6" t="n">
        <x:v>0.2456838457721006</x:v>
      </x:c>
      <x:c r="F6" t="n">
        <x:v>0.2515101339073025</x:v>
      </x:c>
      <x:c r="G6" t="n">
        <x:v>0.252418645914469</x:v>
      </x:c>
      <x:c r="H6"/>
      <x:c r="I6"/>
      <x:c r="J6"/>
      <x:c r="K6"/>
      <x:c r="L6"/>
      <x:c r="M6"/>
      <x:c r="N6"/>
      <x:c r="O6"/>
      <x:c r="P6"/>
      <x:c r="Q6"/>
      <x:c r="R6"/>
    </x:row>
    <x:row r="7">
      <x:c r="A7" t="str">
        <x:v>2024년 2월 14일 ~ 2월 22일</x:v>
      </x:c>
      <x:c r="B7" t="n">
        <x:v>0.2500327211521529</x:v>
      </x:c>
      <x:c r="C7" t="n">
        <x:v>0.252658468319257</x:v>
      </x:c>
      <x:c r="D7" t="n">
        <x:v>0.2535261092340778</x:v>
      </x:c>
      <x:c r="E7" t="n">
        <x:v>0.2521906936603804</x:v>
      </x:c>
      <x:c r="F7" t="n">
        <x:v>0.2560234041515947</x:v>
      </x:c>
      <x:c r="G7" t="n">
        <x:v>0.2583500742775667</x:v>
      </x:c>
      <x:c r="H7"/>
      <x:c r="I7"/>
      <x:c r="J7"/>
      <x:c r="K7"/>
      <x:c r="L7"/>
      <x:c r="M7"/>
      <x:c r="N7"/>
      <x:c r="O7"/>
      <x:c r="P7"/>
      <x:c r="Q7"/>
      <x:c r="R7"/>
    </x:row>
    <x:row r="8">
      <x:c r="A8" t="str">
        <x:v>2024년 2월 14일 ~ 2월 22일</x:v>
      </x:c>
      <x:c r="B8" t="n">
        <x:v>0.2521593754381439</x:v>
      </x:c>
      <x:c r="C8" t="n">
        <x:v>0.2559901841449274</x:v>
      </x:c>
      <x:c r="D8" t="n">
        <x:v>0.2529387292206885</x:v>
      </x:c>
      <x:c r="E8" t="n">
        <x:v>0.2440109033641062</x:v>
      </x:c>
      <x:c r="F8" t="n">
        <x:v>0.2502962351589988</x:v>
      </x:c>
      <x:c r="G8" t="n">
        <x:v>0.2583037955231629</x:v>
      </x:c>
      <x:c r="H8"/>
      <x:c r="I8"/>
      <x:c r="J8"/>
      <x:c r="K8"/>
      <x:c r="L8"/>
      <x:c r="M8"/>
      <x:c r="N8"/>
      <x:c r="O8"/>
      <x:c r="P8"/>
      <x:c r="Q8"/>
      <x:c r="R8"/>
    </x:row>
    <x:row r="9">
      <x:c r="A9" t="str">
        <x:v>2024년 2월 14일 ~ 2월 22일</x:v>
      </x:c>
      <x:c r="B9" t="n">
        <x:v>0.2544821703788221</x:v>
      </x:c>
      <x:c r="C9" t="n">
        <x:v>0.2546137983407824</x:v>
      </x:c>
      <x:c r="D9" t="n">
        <x:v>0.2565186866811273</x:v>
      </x:c>
      <x:c r="E9" t="n">
        <x:v>0.2485594094406905</x:v>
      </x:c>
      <x:c r="F9" t="n">
        <x:v>0.2474605030818581</x:v>
      </x:c>
      <x:c r="G9" t="n">
        <x:v>0.256241388955074</x:v>
      </x:c>
      <x:c r="H9"/>
      <x:c r="I9"/>
      <x:c r="J9"/>
      <x:c r="K9"/>
      <x:c r="L9"/>
      <x:c r="M9"/>
      <x:c r="N9"/>
      <x:c r="O9"/>
      <x:c r="P9"/>
      <x:c r="Q9"/>
      <x:c r="R9"/>
    </x:row>
    <x:row r="10">
      <x:c r="A10" t="str">
        <x:v>2024년 2월 14일 ~ 2월 22일</x:v>
      </x:c>
      <x:c r="B10" t="n">
        <x:v>0.2560586339284249</x:v>
      </x:c>
      <x:c r="C10" t="n">
        <x:v>0.2518170421699132</x:v>
      </x:c>
      <x:c r="D10" t="n">
        <x:v>0.2610581695345849</x:v>
      </x:c>
      <x:c r="E10" t="n">
        <x:v>0.2489747596680058</x:v>
      </x:c>
      <x:c r="F10" t="n">
        <x:v>0.2455596560169694</x:v>
      </x:c>
      <x:c r="G10" t="n">
        <x:v>0.2527864218598413</x:v>
      </x:c>
      <x:c r="H10"/>
      <x:c r="I10"/>
      <x:c r="J10"/>
      <x:c r="K10"/>
      <x:c r="L10"/>
      <x:c r="M10"/>
      <x:c r="N10"/>
      <x:c r="O10"/>
      <x:c r="P10"/>
      <x:c r="Q10"/>
      <x:c r="R10"/>
    </x:row>
    <x:row r="11">
      <x:c r="A11" t="str">
        <x:v>2024년 07월 06일</x:v>
      </x:c>
      <x:c r="B11" t="n">
        <x:v>0.2558733711128447</x:v>
      </x:c>
      <x:c r="C11" t="n">
        <x:v>0.2568845917509029</x:v>
      </x:c>
      <x:c r="D11" t="n">
        <x:v>0.2518648433035585</x:v>
      </x:c>
      <x:c r="E11" t="n">
        <x:v>0.2540038616130594</x:v>
      </x:c>
      <x:c r="F11" t="n">
        <x:v>0.2457177130995577</x:v>
      </x:c>
      <x:c r="G11" t="n">
        <x:v>0.2463016076704756</x:v>
      </x:c>
      <x:c r="H11"/>
      <x:c r="I11"/>
      <x:c r="J11"/>
      <x:c r="K11"/>
      <x:c r="L11"/>
      <x:c r="M11"/>
      <x:c r="N11"/>
      <x:c r="O11"/>
      <x:c r="P11"/>
      <x:c r="Q11"/>
      <x:c r="R11"/>
    </x:row>
    <x:row r="12">
      <x:c r="A12" t="str">
        <x:v>2024년 11월 18일 ~ 11월 27일</x:v>
      </x:c>
      <x:c r="B12" t="n">
        <x:v>0.2442868870232246</x:v>
      </x:c>
      <x:c r="C12" t="n">
        <x:v>0.2501752294822437</x:v>
      </x:c>
      <x:c r="D12" t="n">
        <x:v>0.2453569233909337</x:v>
      </x:c>
      <x:c r="E12" t="n">
        <x:v>0.2490781175146997</x:v>
      </x:c>
      <x:c r="F12" t="n">
        <x:v>0.2524406184104562</x:v>
      </x:c>
      <x:c r="G12" t="n">
        <x:v>0.2526837702302719</x:v>
      </x:c>
      <x:c r="H12"/>
      <x:c r="I12"/>
      <x:c r="J12"/>
      <x:c r="K12"/>
      <x:c r="L12"/>
      <x:c r="M12"/>
      <x:c r="N12"/>
      <x:c r="O12"/>
      <x:c r="P12"/>
      <x:c r="Q12"/>
      <x:c r="R12"/>
    </x:row>
    <x:row r="13">
      <x:c r="A13" t="str">
        <x:v>2024년 11월 18일 ~ 11월 27일</x:v>
      </x:c>
      <x:c r="B13" t="n">
        <x:v>0.2477713080678882</x:v>
      </x:c>
      <x:c r="C13" t="n">
        <x:v>0.2550110627204983</x:v>
      </x:c>
      <x:c r="D13" t="n">
        <x:v>0.2503475984852402</x:v>
      </x:c>
      <x:c r="E13" t="n">
        <x:v>0.2415280659542416</x:v>
      </x:c>
      <x:c r="F13" t="n">
        <x:v>0.2540179779067575</x:v>
      </x:c>
      <x:c r="G13" t="n">
        <x:v>0.2541328817510578</x:v>
      </x:c>
      <x:c r="H13"/>
      <x:c r="I13"/>
      <x:c r="J13"/>
      <x:c r="K13"/>
      <x:c r="L13"/>
      <x:c r="M13"/>
      <x:c r="N13"/>
      <x:c r="O13"/>
      <x:c r="P13"/>
      <x:c r="Q13"/>
      <x:c r="R13"/>
    </x:row>
    <x:row r="14">
      <x:c r="A14" t="str">
        <x:v>2024년 11월 18일 ~ 11월 27일</x:v>
      </x:c>
      <x:c r="B14" t="n">
        <x:v>0.2560110962771688</x:v>
      </x:c>
      <x:c r="C14" t="n">
        <x:v>0.2443585079449121</x:v>
      </x:c>
      <x:c r="D14" t="n">
        <x:v>0.2587078598473151</x:v>
      </x:c>
      <x:c r="E14" t="n">
        <x:v>0.2447379719871113</x:v>
      </x:c>
      <x:c r="F14" t="n">
        <x:v>0.2480810558410873</x:v>
      </x:c>
      <x:c r="G14" t="n">
        <x:v>0.2546785185041604</x:v>
      </x:c>
      <x:c r="H14"/>
      <x:c r="I14"/>
      <x:c r="J14"/>
      <x:c r="K14"/>
      <x:c r="L14"/>
      <x:c r="M14"/>
      <x:c r="N14"/>
      <x:c r="O14"/>
      <x:c r="P14"/>
      <x:c r="Q14"/>
      <x:c r="R14"/>
    </x:row>
    <x:row r="15">
      <x:c r="A15" t="str">
        <x:v>2024년 11월 18일 ~ 11월 27일</x:v>
      </x:c>
      <x:c r="B15" t="n">
        <x:v>0.2481733612605486</x:v>
      </x:c>
      <x:c r="C15" t="n">
        <x:v>0.2431614875820739</x:v>
      </x:c>
      <x:c r="D15" t="n">
        <x:v>0.2536472107575239</x:v>
      </x:c>
      <x:c r="E15" t="n">
        <x:v>0.2556932088275116</x:v>
      </x:c>
      <x:c r="F15" t="n">
        <x:v>0.2532996840465563</x:v>
      </x:c>
      <x:c r="G15" t="n">
        <x:v>0.2526904063737278</x:v>
      </x:c>
      <x:c r="H15"/>
      <x:c r="I15"/>
      <x:c r="J15"/>
      <x:c r="K15"/>
      <x:c r="L15"/>
      <x:c r="M15"/>
      <x:c r="N15"/>
      <x:c r="O15"/>
      <x:c r="P15"/>
      <x:c r="Q15"/>
      <x:c r="R15"/>
    </x:row>
    <x:row r="16">
      <x:c r="A16" t="str">
        <x:v>2024년 11월 18일 ~ 11월 27일</x:v>
      </x:c>
      <x:c r="B16" t="n">
        <x:v>0.2446724155795308</x:v>
      </x:c>
      <x:c r="C16" t="n">
        <x:v>0.2553029473404934</x:v>
      </x:c>
      <x:c r="D16" t="n">
        <x:v>0.2465791499285888</x:v>
      </x:c>
      <x:c r="E16" t="n">
        <x:v>0.2541871839730932</x:v>
      </x:c>
      <x:c r="F16" t="n">
        <x:v>0.2535479569526635</x:v>
      </x:c>
      <x:c r="G16" t="n">
        <x:v>0.24703419350791</x:v>
      </x:c>
      <x:c r="H16"/>
      <x:c r="I16"/>
      <x:c r="J16"/>
      <x:c r="K16"/>
      <x:c r="L16"/>
      <x:c r="M16"/>
      <x:c r="N16"/>
      <x:c r="O16"/>
      <x:c r="P16"/>
      <x:c r="Q16"/>
      <x:c r="R16"/>
    </x:row>
    <x:row r="17">
      <x:c r="A17" t="str">
        <x:v>2024년 11월 18일 ~ 11월 27일</x:v>
      </x:c>
      <x:c r="B17" t="n">
        <x:v>0.2397536643361992</x:v>
      </x:c>
      <x:c r="C17" t="n">
        <x:v>0.2573472244853005</x:v>
      </x:c>
      <x:c r="D17" t="n">
        <x:v>0.2488100916715534</x:v>
      </x:c>
      <x:c r="E17" t="n">
        <x:v>0.2611974977702592</x:v>
      </x:c>
      <x:c r="F17" t="n">
        <x:v>0.2582659352446899</x:v>
      </x:c>
      <x:c r="G17" t="n">
        <x:v>0.2478722864420569</x:v>
      </x:c>
      <x:c r="H17"/>
      <x:c r="I17"/>
      <x:c r="J17"/>
      <x:c r="K17"/>
      <x:c r="L17"/>
      <x:c r="M17"/>
      <x:c r="N17"/>
      <x:c r="O17"/>
      <x:c r="P17"/>
      <x:c r="Q17"/>
      <x:c r="R17"/>
    </x:row>
    <x:row r="18">
      <x:c r="A18" t="str">
        <x:v>2024년 11월 18일 ~ 11월 27일</x:v>
      </x:c>
      <x:c r="B18" t="n">
        <x:v>0.2421139888908207</x:v>
      </x:c>
      <x:c r="C18" t="n">
        <x:v>0.2601762016238122</x:v>
      </x:c>
      <x:c r="D18" t="n">
        <x:v>0.2488845267761023</x:v>
      </x:c>
      <x:c r="E18" t="n">
        <x:v>0.2500533223875561</x:v>
      </x:c>
      <x:c r="F18" t="n">
        <x:v>0.2595516116696835</x:v>
      </x:c>
      <x:c r="G18" t="n">
        <x:v>0.2390576642804231</x:v>
      </x:c>
      <x:c r="H18"/>
      <x:c r="I18"/>
      <x:c r="J18"/>
      <x:c r="K18"/>
      <x:c r="L18"/>
      <x:c r="M18"/>
      <x:c r="N18"/>
      <x:c r="O18"/>
      <x:c r="P18"/>
      <x:c r="Q18"/>
      <x:c r="R18"/>
    </x:row>
    <x:row r="19">
      <x:c r="A19" t="str">
        <x:v>2024년 11월 18일 ~ 11월 27일</x:v>
      </x:c>
      <x:c r="B19" t="n">
        <x:v>0.2547565944610309</x:v>
      </x:c>
      <x:c r="C19" t="n">
        <x:v>0.2613033846723645</x:v>
      </x:c>
      <x:c r="D19" t="n">
        <x:v>0.2524646438253385</x:v>
      </x:c>
      <x:c r="E19" t="n">
        <x:v>0.2427151900083787</x:v>
      </x:c>
      <x:c r="F19" t="n">
        <x:v>0.2502421110762792</x:v>
      </x:c>
      <x:c r="G19" t="n">
        <x:v>0.245061438456407</x:v>
      </x:c>
      <x:c r="H19"/>
      <x:c r="I19"/>
      <x:c r="J19"/>
      <x:c r="K19"/>
      <x:c r="L19"/>
      <x:c r="M19"/>
      <x:c r="N19"/>
      <x:c r="O19"/>
      <x:c r="P19"/>
      <x:c r="Q19"/>
      <x:c r="R19"/>
    </x:row>
    <x:row r="20">
      <x:c r="A20" t="str">
        <x:v>2024년 11월 18일 ~ 11월 27일</x:v>
      </x:c>
      <x:c r="B20" t="n">
        <x:v>0.26832451735919</x:v>
      </x:c>
      <x:c r="C20" t="n">
        <x:v>0.2506003152270231</x:v>
      </x:c>
      <x:c r="D20" t="n">
        <x:v>0.2559715117595081</x:v>
      </x:c>
      <x:c r="E20" t="n">
        <x:v>0.2537934698545541</x:v>
      </x:c>
      <x:c r="F20" t="n">
        <x:v>0.2508325110685002</x:v>
      </x:c>
      <x:c r="G20" t="n">
        <x:v>0.2518181430551286</x:v>
      </x:c>
      <x:c r="H20"/>
      <x:c r="I20"/>
      <x:c r="J20"/>
      <x:c r="K20"/>
      <x:c r="L20"/>
      <x:c r="M20"/>
      <x:c r="N20"/>
      <x:c r="O20"/>
      <x:c r="P20"/>
      <x:c r="Q20"/>
      <x:c r="R20"/>
    </x:row>
    <x:row r="21">
      <x:c r="A21" t="str">
        <x:v>2024년 11월 18일 ~ 11월 27일</x:v>
      </x:c>
      <x:c r="B21" t="n">
        <x:v>0.2580636615245487</x:v>
      </x:c>
      <x:c r="C21" t="n">
        <x:v>0.2535651724193204</x:v>
      </x:c>
      <x:c r="D21" t="n">
        <x:v>0.2580864001714528</x:v>
      </x:c>
      <x:c r="E21" t="n">
        <x:v>0.2563004861927121</x:v>
      </x:c>
      <x:c r="F21" t="n">
        <x:v>0.2582272401053337</x:v>
      </x:c>
      <x:c r="G21" t="n">
        <x:v>0.2559527644965018</x:v>
      </x:c>
      <x:c r="H21"/>
      <x:c r="I21"/>
      <x:c r="J21"/>
      <x:c r="K21"/>
      <x:c r="L21"/>
      <x:c r="M21"/>
      <x:c r="N21"/>
      <x:c r="O21"/>
      <x:c r="P21"/>
      <x:c r="Q21"/>
      <x:c r="R21"/>
    </x:row>
    <x:row r="22">
      <x:c r="A22" t="str">
        <x:v>2025년 4월 3일 ~ 4월 9일</x:v>
      </x:c>
      <x:c r="B22" t="n">
        <x:v>0.2536025583038448</x:v>
      </x:c>
      <x:c r="C22" t="n">
        <x:v>0.2499329080197772</x:v>
      </x:c>
      <x:c r="D22" t="n">
        <x:v>0.2536617102859863</x:v>
      </x:c>
      <x:c r="E22" t="n">
        <x:v>0.2572433479273889</x:v>
      </x:c>
      <x:c r="F22" t="n">
        <x:v>0.256740027757417</x:v>
      </x:c>
      <x:c r="G22" t="n">
        <x:v>0.2526175550473567</x:v>
      </x:c>
      <x:c r="H22"/>
      <x:c r="I22"/>
      <x:c r="J22"/>
      <x:c r="K22"/>
      <x:c r="L22"/>
      <x:c r="M22"/>
      <x:c r="N22"/>
      <x:c r="O22"/>
      <x:c r="P22"/>
      <x:c r="Q22"/>
      <x:c r="R22"/>
    </x:row>
    <x:row r="23">
      <x:c r="A23" t="str">
        <x:v>2025년 4월 3일 ~ 4월 9일</x:v>
      </x:c>
      <x:c r="B23" t="n">
        <x:v>0.2467264674113314</x:v>
      </x:c>
      <x:c r="C23" t="n">
        <x:v>0.2569022742071505</x:v>
      </x:c>
      <x:c r="D23" t="n">
        <x:v>0.2484231862720026</x:v>
      </x:c>
      <x:c r="E23" t="n">
        <x:v>0.2572317964501186</x:v>
      </x:c>
      <x:c r="F23" t="n">
        <x:v>0.2545323498821769</x:v>
      </x:c>
      <x:c r="G23" t="n">
        <x:v>0.2517994378021655</x:v>
      </x:c>
      <x:c r="H23"/>
      <x:c r="I23"/>
      <x:c r="J23"/>
      <x:c r="K23"/>
      <x:c r="L23"/>
      <x:c r="M23"/>
      <x:c r="N23"/>
      <x:c r="O23"/>
      <x:c r="P23"/>
      <x:c r="Q23"/>
      <x:c r="R23"/>
    </x:row>
    <x:row r="24">
      <x:c r="A24" t="str">
        <x:v>2025년 4월 3일 ~ 4월 9일</x:v>
      </x:c>
      <x:c r="B24" t="n">
        <x:v>0.2541391740818412</x:v>
      </x:c>
      <x:c r="C24" t="n">
        <x:v>0.255817058859128</x:v>
      </x:c>
      <x:c r="D24" t="n">
        <x:v>0.250953786071131</x:v>
      </x:c>
      <x:c r="E24" t="n">
        <x:v>0.2483942712863923</x:v>
      </x:c>
      <x:c r="F24" t="n">
        <x:v>0.250160799217498</x:v>
      </x:c>
      <x:c r="G24" t="n">
        <x:v>0.2509688812351513</x:v>
      </x:c>
      <x:c r="H24"/>
      <x:c r="I24"/>
      <x:c r="J24"/>
      <x:c r="K24"/>
      <x:c r="L24"/>
      <x:c r="M24"/>
      <x:c r="N24"/>
      <x:c r="O24"/>
      <x:c r="P24"/>
      <x:c r="Q24"/>
      <x:c r="R24"/>
    </x:row>
    <x:row r="25">
      <x:c r="A25" t="str">
        <x:v>2025년 4월 3일 ~ 4월 9일</x:v>
      </x:c>
      <x:c r="B25" t="n">
        <x:v>0.2502735947893592</x:v>
      </x:c>
      <x:c r="C25" t="n">
        <x:v>0.2484949877697732</x:v>
      </x:c>
      <x:c r="D25" t="n">
        <x:v>0.2558741675492161</x:v>
      </x:c>
      <x:c r="E25" t="n">
        <x:v>0.2509007992886295</x:v>
      </x:c>
      <x:c r="F25" t="n">
        <x:v>0.2567092580537586</x:v>
      </x:c>
      <x:c r="G25" t="n">
        <x:v>0.257145215851245</x:v>
      </x:c>
      <x:c r="H25"/>
      <x:c r="I25"/>
      <x:c r="J25"/>
      <x:c r="K25"/>
      <x:c r="L25"/>
      <x:c r="M25"/>
      <x:c r="N25"/>
      <x:c r="O25"/>
      <x:c r="P25"/>
      <x:c r="Q25"/>
      <x:c r="R25"/>
    </x:row>
    <x:row r="26">
      <x:c r="A26" t="str">
        <x:v>2025년 4월 3일 ~ 4월 9일</x:v>
      </x:c>
      <x:c r="B26" t="n">
        <x:v>0.2646071373672531</x:v>
      </x:c>
      <x:c r="C26" t="n">
        <x:v>0.2583029492954553</x:v>
      </x:c>
      <x:c r="D26" t="n">
        <x:v>0.2562441880124195</x:v>
      </x:c>
      <x:c r="E26" t="n">
        <x:v>0.2486626314245396</x:v>
      </x:c>
      <x:c r="F26" t="n">
        <x:v>0.2495484747881509</x:v>
      </x:c>
      <x:c r="G26" t="n">
        <x:v>0.2531832147970184</x:v>
      </x:c>
      <x:c r="H26"/>
      <x:c r="I26"/>
      <x:c r="J26"/>
      <x:c r="K26"/>
      <x:c r="L26"/>
      <x:c r="M26"/>
      <x:c r="N26"/>
      <x:c r="O26"/>
      <x:c r="P26"/>
      <x:c r="Q26"/>
      <x:c r="R26"/>
    </x:row>
    <x:row r="27">
      <x:c r="A27" t="str">
        <x:v>2025년 4월 3일 ~ 4월 9일</x:v>
      </x:c>
      <x:c r="B27" t="n">
        <x:v>0.2565596444676062</x:v>
      </x:c>
      <x:c r="C27" t="n">
        <x:v>0.2610869141510231</x:v>
      </x:c>
      <x:c r="D27" t="n">
        <x:v>0.2543997154845486</x:v>
      </x:c>
      <x:c r="E27" t="n">
        <x:v>0.2563199058416524</x:v>
      </x:c>
      <x:c r="F27" t="n">
        <x:v>0.243524652987904</x:v>
      </x:c>
      <x:c r="G27" t="n">
        <x:v>0.2489879454666695</x:v>
      </x:c>
      <x:c r="H27"/>
      <x:c r="I27"/>
      <x:c r="J27"/>
      <x:c r="K27"/>
      <x:c r="L27"/>
      <x:c r="M27"/>
      <x:c r="N27"/>
      <x:c r="O27"/>
      <x:c r="P27"/>
      <x:c r="Q27"/>
      <x:c r="R27"/>
    </x:row>
    <x:row r="28">
      <x:c r="A28" t="str">
        <x:v>2025년 4월 3일 ~ 4월 9일</x:v>
      </x:c>
      <x:c r="B28" t="n">
        <x:v>0.254251085970122</x:v>
      </x:c>
      <x:c r="C28" t="n">
        <x:v>0.2571040072734153</x:v>
      </x:c>
      <x:c r="D28" t="n">
        <x:v>0.2522612760073807</x:v>
      </x:c>
      <x:c r="E28" t="n">
        <x:v>0.2529639306599251</x:v>
      </x:c>
      <x:c r="F28" t="n">
        <x:v>0.245423238703319</x:v>
      </x:c>
      <x:c r="G28" t="n">
        <x:v>0.2475198679936687</x:v>
      </x:c>
      <x:c r="H28"/>
      <x:c r="I28"/>
      <x:c r="J28"/>
      <x:c r="K28"/>
      <x:c r="L28"/>
      <x:c r="M28"/>
      <x:c r="N28"/>
      <x:c r="O28"/>
      <x:c r="P28"/>
      <x:c r="Q28"/>
      <x:c r="R28"/>
    </x:row>
    <x:row r="29">
      <x:c r="A29" t="str">
        <x:v>2025년 09월 21일</x:v>
      </x:c>
      <x:c r="B29" t="n">
        <x:v>0.2533552678785391</x:v>
      </x:c>
      <x:c r="C29" t="n">
        <x:v>0.2518138251131021</x:v>
      </x:c>
      <x:c r="D29" t="n">
        <x:v>0.2553032930015763</x:v>
      </x:c>
      <x:c r="E29" t="n">
        <x:v>0.2605333702675016</x:v>
      </x:c>
      <x:c r="F29" t="n">
        <x:v>0.251805822097703</x:v>
      </x:c>
      <x:c r="G29" t="n">
        <x:v>0.2594379190955162</x:v>
      </x:c>
      <x:c r="H29"/>
      <x:c r="I29"/>
      <x:c r="J29"/>
      <x:c r="K29"/>
      <x:c r="L29"/>
      <x:c r="M29"/>
      <x:c r="N29"/>
      <x:c r="O29"/>
      <x:c r="P29"/>
      <x:c r="Q29"/>
      <x:c r="R29"/>
    </x:row>
    <x:row r="30">
      <x:c r="A30" t="str">
        <x:v>2025.06.15</x:v>
      </x:c>
      <x:c r="B30" t="n">
        <x:v>0.2495314392631781</x:v>
      </x:c>
      <x:c r="C30" t="n">
        <x:v>0.2520079262697714</x:v>
      </x:c>
      <x:c r="D30" t="n">
        <x:v>0.2531360045464857</x:v>
      </x:c>
      <x:c r="E30" t="n">
        <x:v>0.2585421204039317</x:v>
      </x:c>
      <x:c r="F30" t="n">
        <x:v>0.2487920705082809</x:v>
      </x:c>
      <x:c r="G30" t="n">
        <x:v>0.2434727775948308</x:v>
      </x:c>
      <x:c r="H30"/>
      <x:c r="I30"/>
      <x:c r="J30"/>
      <x:c r="K30"/>
      <x:c r="L30"/>
      <x:c r="M30"/>
      <x:c r="N30"/>
      <x:c r="O30"/>
      <x:c r="P30"/>
      <x:c r="Q30"/>
      <x:c r="R30"/>
    </x:row>
    <x:row r="31">
      <x:c r="A31" t="str">
        <x:v>2025.02.11</x:v>
      </x:c>
      <x:c r="B31" t="n">
        <x:v>0.254688733679017</x:v>
      </x:c>
      <x:c r="C31" t="n">
        <x:v>0.2472906215361841</x:v>
      </x:c>
      <x:c r="D31" t="n">
        <x:v>0.252934757878479</x:v>
      </x:c>
      <x:c r="E31" t="n">
        <x:v>0.2530616940165053</x:v>
      </x:c>
      <x:c r="F31" t="n">
        <x:v>0.2475469415103395</x:v>
      </x:c>
      <x:c r="G31" t="n">
        <x:v>0.2521603877004261</x:v>
      </x:c>
      <x:c r="H31"/>
      <x:c r="I31"/>
      <x:c r="J31"/>
      <x:c r="K31"/>
      <x:c r="L31"/>
      <x:c r="M31"/>
      <x:c r="N31"/>
      <x:c r="O31"/>
      <x:c r="P31"/>
      <x:c r="Q31"/>
      <x:c r="R31"/>
    </x:row>
    <x:row r="32">
      <x:c r="A32" t="str">
        <x:v>2024.10.11 ~ 10.15</x:v>
      </x:c>
      <x:c r="B32" t="n">
        <x:v>0.2411255446342144</x:v>
      </x:c>
      <x:c r="C32" t="n">
        <x:v>0.2463809283203933</x:v>
      </x:c>
      <x:c r="D32" t="n">
        <x:v>0.251205308452884</x:v>
      </x:c>
      <x:c r="E32" t="n">
        <x:v>0.2515896751233269</x:v>
      </x:c>
      <x:c r="F32" t="n">
        <x:v>0.2539597477920594</x:v>
      </x:c>
      <x:c r="G32" t="n">
        <x:v>0.2629262295306187</x:v>
      </x:c>
      <x:c r="H32"/>
      <x:c r="I32"/>
      <x:c r="J32"/>
      <x:c r="K32"/>
      <x:c r="L32"/>
      <x:c r="M32"/>
      <x:c r="N32"/>
      <x:c r="O32"/>
      <x:c r="P32"/>
      <x:c r="Q32"/>
      <x:c r="R32"/>
    </x:row>
    <x:row r="33">
      <x:c r="A33" t="str">
        <x:v>2024.10.11 ~ 10.15</x:v>
      </x:c>
      <x:c r="B33" t="n">
        <x:v>0.247529108396543</x:v>
      </x:c>
      <x:c r="C33" t="n">
        <x:v>0.2511818321204082</x:v>
      </x:c>
      <x:c r="D33" t="n">
        <x:v>0.247325030973444</x:v>
      </x:c>
      <x:c r="E33" t="n">
        <x:v>0.251056139106995</x:v>
      </x:c>
      <x:c r="F33" t="n">
        <x:v>0.2576493836087588</x:v>
      </x:c>
      <x:c r="G33" t="n">
        <x:v>0.2533527721484608</x:v>
      </x:c>
      <x:c r="H33"/>
      <x:c r="I33"/>
      <x:c r="J33"/>
      <x:c r="K33"/>
      <x:c r="L33"/>
      <x:c r="M33"/>
      <x:c r="N33"/>
      <x:c r="O33"/>
      <x:c r="P33"/>
      <x:c r="Q33"/>
      <x:c r="R33"/>
    </x:row>
    <x:row r="34">
      <x:c r="A34" t="str">
        <x:v>2024.10.11 ~ 10.15</x:v>
      </x:c>
      <x:c r="B34" t="n">
        <x:v>0.2446854861592879</x:v>
      </x:c>
      <x:c r="C34" t="n">
        <x:v>0.2562068777698863</x:v>
      </x:c>
      <x:c r="D34" t="n">
        <x:v>0.2507370780493052</x:v>
      </x:c>
      <x:c r="E34" t="n">
        <x:v>0.2540254996779159</x:v>
      </x:c>
      <x:c r="F34" t="n">
        <x:v>0.2467557359709056</x:v>
      </x:c>
      <x:c r="G34" t="n">
        <x:v>0.2490264953056287</x:v>
      </x:c>
      <x:c r="H34"/>
      <x:c r="I34"/>
      <x:c r="J34"/>
      <x:c r="K34"/>
      <x:c r="L34"/>
      <x:c r="M34"/>
      <x:c r="N34"/>
      <x:c r="O34"/>
      <x:c r="P34"/>
      <x:c r="Q34"/>
      <x:c r="R34"/>
    </x:row>
    <x:row r="35">
      <x:c r="A35" t="str">
        <x:v>2024.10.11 ~ 10.15</x:v>
      </x:c>
      <x:c r="B35" t="n">
        <x:v>0.2452917940680603</x:v>
      </x:c>
      <x:c r="C35" t="n">
        <x:v>0.2510089492747847</x:v>
      </x:c>
      <x:c r="D35" t="n">
        <x:v>0.2483426142879833</x:v>
      </x:c>
      <x:c r="E35" t="n">
        <x:v>0.2521406150937637</x:v>
      </x:c>
      <x:c r="F35" t="n">
        <x:v>0.2458087131800606</x:v>
      </x:c>
      <x:c r="G35" t="n">
        <x:v>0.2507229787597545</x:v>
      </x:c>
      <x:c r="H35"/>
      <x:c r="I35"/>
      <x:c r="J35"/>
      <x:c r="K35"/>
      <x:c r="L35"/>
      <x:c r="M35"/>
      <x:c r="N35"/>
      <x:c r="O35"/>
      <x:c r="P35"/>
      <x:c r="Q35"/>
      <x:c r="R35"/>
    </x:row>
    <x:row r="36">
      <x:c r="A36" t="str">
        <x:v>2024.10.11 ~ 10.15</x:v>
      </x:c>
      <x:c r="B36" t="n">
        <x:v>0.2504700109369732</x:v>
      </x:c>
      <x:c r="C36" t="n">
        <x:v>0.2533209395218204</x:v>
      </x:c>
      <x:c r="D36" t="n">
        <x:v>0.2492639289128931</x:v>
      </x:c>
      <x:c r="E36" t="n">
        <x:v>0.2500612000294707</x:v>
      </x:c>
      <x:c r="F36" t="n">
        <x:v>0.2530017162581265</x:v>
      </x:c>
      <x:c r="G36" t="n">
        <x:v>0.2473129382439191</x:v>
      </x:c>
      <x:c r="H36"/>
      <x:c r="I36"/>
      <x:c r="J36"/>
      <x:c r="K36"/>
      <x:c r="L36"/>
      <x:c r="M36"/>
      <x:c r="N36"/>
      <x:c r="O36"/>
      <x:c r="P36"/>
      <x:c r="Q36"/>
      <x:c r="R36"/>
    </x:row>
    <x:row r="37">
      <x:c r="A37" t="str">
        <x:v>2025.09.11 ~ 09.16</x:v>
      </x:c>
      <x:c r="B37" t="n">
        <x:v>0.2076227089851433</x:v>
      </x:c>
      <x:c r="C37" t="n">
        <x:v>0.2106082413563711</x:v>
      </x:c>
      <x:c r="D37" t="n">
        <x:v>0.2111022752311134</x:v>
      </x:c>
      <x:c r="E37" t="n">
        <x:v>0.2185378613082704</x:v>
      </x:c>
      <x:c r="F37" t="n">
        <x:v>0.2519149010002041</x:v>
      </x:c>
      <x:c r="G37" t="n">
        <x:v>0.254744618826531</x:v>
      </x:c>
      <x:c r="H37"/>
      <x:c r="I37"/>
      <x:c r="J37"/>
      <x:c r="K37"/>
      <x:c r="L37"/>
      <x:c r="M37"/>
      <x:c r="N37"/>
      <x:c r="O37"/>
      <x:c r="P37"/>
      <x:c r="Q37"/>
      <x:c r="R37"/>
    </x:row>
    <x:row r="38">
      <x:c r="A38" t="str">
        <x:v>2025.09.11 ~ 09.16</x:v>
      </x:c>
      <x:c r="B38" t="n">
        <x:v>0.2122800141327481</x:v>
      </x:c>
      <x:c r="C38" t="n">
        <x:v>0.2156061024048335</x:v>
      </x:c>
      <x:c r="D38" t="n">
        <x:v>0.2107504825496875</x:v>
      </x:c>
      <x:c r="E38" t="n">
        <x:v>0.2171705117499199</x:v>
      </x:c>
      <x:c r="F38" t="n">
        <x:v>0.2476553418891773</x:v>
      </x:c>
      <x:c r="G38" t="n">
        <x:v>0.2535395975116837</x:v>
      </x:c>
      <x:c r="H38"/>
      <x:c r="I38"/>
      <x:c r="J38"/>
      <x:c r="K38"/>
      <x:c r="L38"/>
      <x:c r="M38"/>
      <x:c r="N38"/>
      <x:c r="O38"/>
      <x:c r="P38"/>
      <x:c r="Q38"/>
      <x:c r="R38"/>
    </x:row>
    <x:row r="39">
      <x:c r="A39" t="str">
        <x:v>2025.09.11 ~ 09.16</x:v>
      </x:c>
      <x:c r="B39" t="n">
        <x:v>0.2164100779298592</x:v>
      </x:c>
      <x:c r="C39" t="n">
        <x:v>0.2061198948455089</x:v>
      </x:c>
      <x:c r="D39" t="n">
        <x:v>0.2111779898125155</x:v>
      </x:c>
      <x:c r="E39" t="n">
        <x:v>0.2135374981908417</x:v>
      </x:c>
      <x:c r="F39" t="n">
        <x:v>0.2608776449082902</x:v>
      </x:c>
      <x:c r="G39" t="n">
        <x:v>0.2459693492449095</x:v>
      </x:c>
      <x:c r="H39"/>
      <x:c r="I39"/>
      <x:c r="J39"/>
      <x:c r="K39"/>
      <x:c r="L39"/>
      <x:c r="M39"/>
      <x:c r="N39"/>
      <x:c r="O39"/>
      <x:c r="P39"/>
      <x:c r="Q39"/>
      <x:c r="R39"/>
    </x:row>
    <x:row r="40">
      <x:c r="A40" t="str">
        <x:v>2025.09.11 ~ 09.16</x:v>
      </x:c>
      <x:c r="B40" t="n">
        <x:v>0.2171671370034871</x:v>
      </x:c>
      <x:c r="C40" t="n">
        <x:v>0.2135011757451139</x:v>
      </x:c>
      <x:c r="D40" t="n">
        <x:v>0.2147713670090577</x:v>
      </x:c>
      <x:c r="E40" t="n">
        <x:v>0.2067317934377944</x:v>
      </x:c>
      <x:c r="F40" t="n">
        <x:v>0.2613355031030939</x:v>
      </x:c>
      <x:c r="G40" t="n">
        <x:v>0.2505114645891325</x:v>
      </x:c>
      <x:c r="H40"/>
      <x:c r="I40"/>
      <x:c r="J40"/>
      <x:c r="K40"/>
      <x:c r="L40"/>
      <x:c r="M40"/>
      <x:c r="N40"/>
      <x:c r="O40"/>
      <x:c r="P40"/>
      <x:c r="Q40"/>
      <x:c r="R40"/>
    </x:row>
    <x:row r="41">
      <x:c r="A41" t="str">
        <x:v>2025.09.11 ~ 09.16</x:v>
      </x:c>
      <x:c r="B41" t="n">
        <x:v>0.2141308834413335</x:v>
      </x:c>
      <x:c r="C41" t="n">
        <x:v>0.2122036922096038</x:v>
      </x:c>
      <x:c r="D41" t="n">
        <x:v>0.2173002710418432</x:v>
      </x:c>
      <x:c r="E41" t="n">
        <x:v>0.208118071429963</x:v>
      </x:c>
      <x:c r="F41" t="n">
        <x:v>0.2594849613356061</x:v>
      </x:c>
      <x:c r="G41" t="n">
        <x:v>0.251992308179399</x:v>
      </x:c>
      <x:c r="H41"/>
      <x:c r="I41"/>
      <x:c r="J41"/>
      <x:c r="K41"/>
      <x:c r="L41"/>
      <x:c r="M41"/>
      <x:c r="N41"/>
      <x:c r="O41"/>
      <x:c r="P41"/>
      <x:c r="Q41"/>
      <x:c r="R41"/>
    </x:row>
    <x:row r="42">
      <x:c r="A42" t="str">
        <x:v>2025.09.11 ~ 09.16</x:v>
      </x:c>
      <x:c r="B42" t="n">
        <x:v>0.222983834367865</x:v>
      </x:c>
      <x:c r="C42" t="n">
        <x:v>0.2257420583138168</x:v>
      </x:c>
      <x:c r="D42" t="n">
        <x:v>0.219587997000926</x:v>
      </x:c>
      <x:c r="E42" t="n">
        <x:v>0.2153592589983918</x:v>
      </x:c>
      <x:c r="F42" t="n">
        <x:v>0.2554292765183182</x:v>
      </x:c>
      <x:c r="G42" t="n">
        <x:v>0.2539164997042447</x:v>
      </x:c>
      <x:c r="H42"/>
      <x:c r="I42"/>
      <x:c r="J42"/>
      <x:c r="K42"/>
      <x:c r="L42"/>
      <x:c r="M42"/>
      <x:c r="N42"/>
      <x:c r="O42"/>
      <x:c r="P42"/>
      <x:c r="Q42"/>
      <x:c r="R4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4" t="str">
        <x:v>일별 원가 영향도 (수식 계산)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s="6" t="str">
        <x:v>조회기간</x:v>
      </x:c>
      <x:c r="B3" s="6" t="str">
        <x:v>조업일</x:v>
      </x:c>
      <x:c r="C3" s="6" t="str">
        <x:v>원가항목</x:v>
      </x:c>
      <x:c r="D3" s="6" t="str">
        <x:v>실제값</x:v>
      </x:c>
      <x:c r="E3" s="6" t="str">
        <x:v>목표값</x:v>
      </x:c>
      <x:c r="F3" s="6" t="str">
        <x:v>차이</x:v>
      </x:c>
      <x:c r="G3" s="6" t="str">
        <x:v>손익반영단가</x:v>
      </x:c>
      <x:c r="H3" s="6" t="str">
        <x:v>손익영향금액</x:v>
      </x:c>
      <x:c r="I3" s="6" t="str">
        <x:v>판정</x:v>
      </x:c>
      <x:c r="J3" s="6" t="str">
        <x:v>KPI/변수 ID</x:v>
      </x:c>
      <x:c r="K3" s="6" t="str">
        <x:v>기본단가</x:v>
      </x:c>
      <x:c r="L3" s="6" t="str">
        <x:v>손익적용률</x:v>
      </x:c>
      <x:c r="M3" s="6" t="str">
        <x:v>단위</x:v>
      </x:c>
      <x:c r="N3" s="6" t="str">
        <x:v>산식</x:v>
      </x:c>
    </x:row>
    <x:row r="4">
      <x:c r="A4" t="str">
        <x:f>'일별 KPI·변수'!A2</x:f>
        <x:v>2024년 2월 14일 ~ 2월 22일</x:v>
      </x:c>
      <x:c r="B4" t="str">
        <x:f>'일별 KPI·변수'!B2</x:f>
        <x:v>2024-02-14</x:v>
      </x:c>
      <x:c r="C4" t="str">
        <x:v>가스량</x:v>
      </x:c>
      <x:c r="D4" s="8" t="n">
        <x:f>'일별 KPI·변수'!O2</x:f>
        <x:v>1054142.478838277</x:v>
      </x:c>
      <x:c r="E4" s="8" t="n">
        <x:f>IF(YEAR(B4)=2024,'원가 기준'!$G$4,'원가 기준'!$G$5)</x:f>
        <x:v>1042423.4621</x:v>
      </x:c>
      <x:c r="F4" s="8" t="n">
        <x:f>D4-E4</x:f>
        <x:v>11719.016738277045</x:v>
      </x:c>
      <x:c r="G4" s="8" t="n">
        <x:f>K4*L4</x:f>
        <x:v>90</x:v>
      </x:c>
      <x:c r="H4" s="7" t="n">
        <x:f>F4*G4</x:f>
        <x:v>1054711.506444934</x:v>
      </x:c>
      <x:c r="I4" t="str">
        <x:f>IF(H4&gt;=0,"이익","손해")</x:f>
        <x:v>이익</x:v>
      </x:c>
      <x:c r="J4" t="str">
        <x:v>KPI_U04_QTY_G01</x:v>
      </x:c>
      <x:c r="K4" t="n">
        <x:f>IF(YEAR(B4)=2024,'원가 기준'!$C$4,'원가 기준'!$C$5)</x:f>
        <x:v>300</x:v>
      </x:c>
      <x:c r="L4" t="n">
        <x:f>IF(YEAR(B4)=2024,'원가 기준'!$D$4,'원가 기준'!$D$5)</x:f>
        <x:v>0.3</x:v>
      </x:c>
      <x:c r="M4" t="str">
        <x:v>원/Nm3</x:v>
      </x:c>
      <x:c r="N4" t="str">
        <x:v>(실제-목표)×손익반영단가</x:v>
      </x:c>
    </x:row>
    <x:row r="5">
      <x:c r="A5" t="str">
        <x:f>'일별 KPI·변수'!A2</x:f>
        <x:v>2024년 2월 14일 ~ 2월 22일</x:v>
      </x:c>
      <x:c r="B5" t="str">
        <x:f>'일별 KPI·변수'!B2</x:f>
        <x:v>2024-02-14</x:v>
      </x:c>
      <x:c r="C5" t="str">
        <x:v>약품 A</x:v>
      </x:c>
      <x:c r="D5" s="8" t="n">
        <x:f>'일별 KPI·변수'!V2</x:f>
        <x:v>496.6670406183226</x:v>
      </x:c>
      <x:c r="E5" s="8" t="n">
        <x:f>'원가 기준'!$G$6</x:f>
        <x:v>497.46725</x:v>
      </x:c>
      <x:c r="F5" s="8" t="n">
        <x:f>E5-D5</x:f>
        <x:v>0.800209381677405</x:v>
      </x:c>
      <x:c r="G5" s="8" t="n">
        <x:f>K5*L5</x:f>
        <x:v>154000</x:v>
      </x:c>
      <x:c r="H5" s="7" t="n">
        <x:f>F4*G4</x:f>
        <x:v>1054711.506444934</x:v>
      </x:c>
      <x:c r="I5" t="str">
        <x:f>IF(H5&gt;=0,"이익","손해")</x:f>
        <x:v>이익</x:v>
      </x:c>
      <x:c r="J5" t="str">
        <x:v>KPI_U04_CHEM_M01</x:v>
      </x:c>
      <x:c r="K5" t="n">
        <x:f>'원가 기준'!$C$6</x:f>
        <x:v>154000</x:v>
      </x:c>
      <x:c r="L5" t="n">
        <x:f>'원가 기준'!$D$6</x:f>
        <x:v>1</x:v>
      </x:c>
      <x:c r="M5" t="str">
        <x:v>원/kg</x:v>
      </x:c>
      <x:c r="N5" t="str">
        <x:v>(목표-실제)×손익반영단가</x:v>
      </x:c>
    </x:row>
    <x:row r="6">
      <x:c r="A6" t="str">
        <x:f>'일별 KPI·변수'!A2</x:f>
        <x:v>2024년 2월 14일 ~ 2월 22일</x:v>
      </x:c>
      <x:c r="B6" t="str">
        <x:f>'일별 KPI·변수'!B2</x:f>
        <x:v>2024-02-14</x:v>
      </x:c>
      <x:c r="C6" t="str">
        <x:v>약품 B</x:v>
      </x:c>
      <x:c r="D6" s="8" t="n">
        <x:f>'일별 KPI·변수'!W2</x:f>
        <x:v>893.2282778941352</x:v>
      </x:c>
      <x:c r="E6" s="8" t="n">
        <x:f>'원가 기준'!$G$7</x:f>
        <x:v>898.13507</x:v>
      </x:c>
      <x:c r="F6" s="8" t="n">
        <x:f>E6-D6</x:f>
        <x:v>4.906792105864838</x:v>
      </x:c>
      <x:c r="G6" s="8" t="n">
        <x:f>K6*L6</x:f>
        <x:v>128000</x:v>
      </x:c>
      <x:c r="H6" s="7" t="n">
        <x:f>F4*G4</x:f>
        <x:v>1054711.506444934</x:v>
      </x:c>
      <x:c r="I6" t="str">
        <x:f>IF(H6&gt;=0,"이익","손해")</x:f>
        <x:v>이익</x:v>
      </x:c>
      <x:c r="J6" t="str">
        <x:v>KPI_U04_CHEM_M02</x:v>
      </x:c>
      <x:c r="K6" t="n">
        <x:f>'원가 기준'!$C$7</x:f>
        <x:v>128000</x:v>
      </x:c>
      <x:c r="L6" t="n">
        <x:f>'원가 기준'!$D$7</x:f>
        <x:v>1</x:v>
      </x:c>
      <x:c r="M6" t="str">
        <x:v>원/kg</x:v>
      </x:c>
      <x:c r="N6" t="str">
        <x:v>(목표-실제)×손익반영단가</x:v>
      </x:c>
    </x:row>
    <x:row r="7">
      <x:c r="A7" t="str">
        <x:f>'일별 KPI·변수'!A2</x:f>
        <x:v>2024년 2월 14일 ~ 2월 22일</x:v>
      </x:c>
      <x:c r="B7" t="str">
        <x:f>'일별 KPI·변수'!B2</x:f>
        <x:v>2024-02-14</x:v>
      </x:c>
      <x:c r="C7" t="str">
        <x:v>스팀</x:v>
      </x:c>
      <x:c r="D7" s="8" t="n">
        <x:f>'추가 변수'!B2</x:f>
        <x:v>0.2472551384119987</x:v>
      </x:c>
      <x:c r="E7" s="8" t="n">
        <x:f>IF(YEAR(B4)=2024,IF(MONTH(B4)&lt;=3,'원가 기준'!$G$8,IF(MONTH(B4)&lt;=6,'원가 기준'!$G$9,IF(MONTH(B4)&lt;=9,'원가 기준'!$G$10,'원가 기준'!$G$13))),IF(MONTH(B4)&lt;=3,'원가 기준'!$G$14,IF(MONTH(B4)&lt;=6,'원가 기준'!$G$15,'원가 기준'!$G$16)))</x:f>
        <x:v>36.4426</x:v>
      </x:c>
      <x:c r="F7" s="8" t="n">
        <x:f>E7-D7</x:f>
        <x:v>36.195344861588</x:v>
      </x:c>
      <x:c r="G7" s="8" t="n">
        <x:f>K7*L7</x:f>
        <x:v>300</x:v>
      </x:c>
      <x:c r="H7" s="7" t="n">
        <x:f>F4*G4</x:f>
        <x:v>1054711.506444934</x:v>
      </x:c>
      <x:c r="I7" t="str">
        <x:f>IF(H7&gt;=0,"이익","손해")</x:f>
        <x:v>이익</x:v>
      </x:c>
      <x:c r="J7" t="str">
        <x:v>KPI_U04_STEAM_M01</x:v>
      </x:c>
      <x:c r="K7" t="n">
        <x:f>G4/L4</x:f>
        <x:v>300</x:v>
      </x:c>
      <x:c r="L7" t="n">
        <x:f>IF(YEAR(B4)=2024,1,1)</x:f>
        <x:v>1</x:v>
      </x:c>
      <x:c r="M7" t="str">
        <x:v>원/ton</x:v>
      </x:c>
      <x:c r="N7" t="str">
        <x:v>(목표-실제)×손익반영단가</x:v>
      </x:c>
    </x:row>
    <x:row r="8">
      <x:c r="A8" t="str">
        <x:f>'일별 KPI·변수'!A3</x:f>
        <x:v>2024년 2월 14일 ~ 2월 22일</x:v>
      </x:c>
      <x:c r="B8" t="str">
        <x:f>'일별 KPI·변수'!B3</x:f>
        <x:v>2024-02-15</x:v>
      </x:c>
      <x:c r="C8" t="str">
        <x:v>가스량</x:v>
      </x:c>
      <x:c r="D8" s="8" t="n">
        <x:f>'일별 KPI·변수'!O3</x:f>
        <x:v>1058674.60221104</x:v>
      </x:c>
      <x:c r="E8" s="8" t="n">
        <x:f>IF(YEAR(B5)=2024,'원가 기준'!$G$4,'원가 기준'!$G$5)</x:f>
        <x:v>1042423.4621</x:v>
      </x:c>
      <x:c r="F8" s="8" t="n">
        <x:f>D8-E8</x:f>
        <x:v>16251.140111039975</x:v>
      </x:c>
      <x:c r="G8" s="8" t="n">
        <x:f>K8*L8</x:f>
        <x:v>90</x:v>
      </x:c>
      <x:c r="H8" s="7" t="n">
        <x:f>F5*G5</x:f>
        <x:v>123232.24477832037</x:v>
      </x:c>
      <x:c r="I8" t="str">
        <x:f>IF(H8&gt;=0,"이익","손해")</x:f>
        <x:v>이익</x:v>
      </x:c>
      <x:c r="J8" t="str">
        <x:v>KPI_U04_QTY_G01</x:v>
      </x:c>
      <x:c r="K8" t="n">
        <x:f>IF(YEAR(B5)=2024,'원가 기준'!$C$4,'원가 기준'!$C$5)</x:f>
        <x:v>300</x:v>
      </x:c>
      <x:c r="L8" t="n">
        <x:f>IF(YEAR(B5)=2024,'원가 기준'!$D$4,'원가 기준'!$D$5)</x:f>
        <x:v>0.3</x:v>
      </x:c>
      <x:c r="M8" t="str">
        <x:v>원/Nm3</x:v>
      </x:c>
      <x:c r="N8" t="str">
        <x:v>(실제-목표)×손익반영단가</x:v>
      </x:c>
    </x:row>
    <x:row r="9">
      <x:c r="A9" t="str">
        <x:f>'일별 KPI·변수'!A3</x:f>
        <x:v>2024년 2월 14일 ~ 2월 22일</x:v>
      </x:c>
      <x:c r="B9" t="str">
        <x:f>'일별 KPI·변수'!B3</x:f>
        <x:v>2024-02-15</x:v>
      </x:c>
      <x:c r="C9" t="str">
        <x:v>약품 A</x:v>
      </x:c>
      <x:c r="D9" s="8" t="n">
        <x:f>'일별 KPI·변수'!V3</x:f>
        <x:v>494.0588018891531</x:v>
      </x:c>
      <x:c r="E9" s="8" t="n">
        <x:f>'원가 기준'!$G$6</x:f>
        <x:v>497.46725</x:v>
      </x:c>
      <x:c r="F9" s="8" t="n">
        <x:f>E9-D9</x:f>
        <x:v>3.408448110846905</x:v>
      </x:c>
      <x:c r="G9" s="8" t="n">
        <x:f>K9*L9</x:f>
        <x:v>154000</x:v>
      </x:c>
      <x:c r="H9" s="7" t="n">
        <x:f>F5*G5</x:f>
        <x:v>123232.24477832037</x:v>
      </x:c>
      <x:c r="I9" t="str">
        <x:f>IF(H9&gt;=0,"이익","손해")</x:f>
        <x:v>이익</x:v>
      </x:c>
      <x:c r="J9" t="str">
        <x:v>KPI_U04_CHEM_M01</x:v>
      </x:c>
      <x:c r="K9" t="n">
        <x:f>'원가 기준'!$C$6</x:f>
        <x:v>154000</x:v>
      </x:c>
      <x:c r="L9" t="n">
        <x:f>'원가 기준'!$D$6</x:f>
        <x:v>1</x:v>
      </x:c>
      <x:c r="M9" t="str">
        <x:v>원/kg</x:v>
      </x:c>
      <x:c r="N9" t="str">
        <x:v>(목표-실제)×손익반영단가</x:v>
      </x:c>
    </x:row>
    <x:row r="10">
      <x:c r="A10" t="str">
        <x:f>'일별 KPI·변수'!A3</x:f>
        <x:v>2024년 2월 14일 ~ 2월 22일</x:v>
      </x:c>
      <x:c r="B10" t="str">
        <x:f>'일별 KPI·변수'!B3</x:f>
        <x:v>2024-02-15</x:v>
      </x:c>
      <x:c r="C10" t="str">
        <x:v>약품 B</x:v>
      </x:c>
      <x:c r="D10" s="8" t="n">
        <x:f>'일별 KPI·변수'!W3</x:f>
        <x:v>899.6429053256721</x:v>
      </x:c>
      <x:c r="E10" s="8" t="n">
        <x:f>'원가 기준'!$G$7</x:f>
        <x:v>898.13507</x:v>
      </x:c>
      <x:c r="F10" s="8" t="n">
        <x:f>E10-D10</x:f>
        <x:v>-1.5078353256720902</x:v>
      </x:c>
      <x:c r="G10" s="8" t="n">
        <x:f>K10*L10</x:f>
        <x:v>128000</x:v>
      </x:c>
      <x:c r="H10" s="7" t="n">
        <x:f>F5*G5</x:f>
        <x:v>123232.24477832037</x:v>
      </x:c>
      <x:c r="I10" t="str">
        <x:f>IF(H10&gt;=0,"이익","손해")</x:f>
        <x:v>이익</x:v>
      </x:c>
      <x:c r="J10" t="str">
        <x:v>KPI_U04_CHEM_M02</x:v>
      </x:c>
      <x:c r="K10" t="n">
        <x:f>'원가 기준'!$C$7</x:f>
        <x:v>128000</x:v>
      </x:c>
      <x:c r="L10" t="n">
        <x:f>'원가 기준'!$D$7</x:f>
        <x:v>1</x:v>
      </x:c>
      <x:c r="M10" t="str">
        <x:v>원/kg</x:v>
      </x:c>
      <x:c r="N10" t="str">
        <x:v>(목표-실제)×손익반영단가</x:v>
      </x:c>
    </x:row>
    <x:row r="11">
      <x:c r="A11" t="str">
        <x:f>'일별 KPI·변수'!A3</x:f>
        <x:v>2024년 2월 14일 ~ 2월 22일</x:v>
      </x:c>
      <x:c r="B11" t="str">
        <x:f>'일별 KPI·변수'!B3</x:f>
        <x:v>2024-02-15</x:v>
      </x:c>
      <x:c r="C11" t="str">
        <x:v>스팀</x:v>
      </x:c>
      <x:c r="D11" s="8" t="n">
        <x:f>'추가 변수'!B3</x:f>
        <x:v>0.2412966932677937</x:v>
      </x:c>
      <x:c r="E11" s="8" t="n">
        <x:f>IF(YEAR(B5)=2024,IF(MONTH(B5)&lt;=3,'원가 기준'!$G$8,IF(MONTH(B5)&lt;=6,'원가 기준'!$G$9,IF(MONTH(B5)&lt;=9,'원가 기준'!$G$10,'원가 기준'!$G$13))),IF(MONTH(B5)&lt;=3,'원가 기준'!$G$14,IF(MONTH(B5)&lt;=6,'원가 기준'!$G$15,'원가 기준'!$G$16)))</x:f>
        <x:v>36.4426</x:v>
      </x:c>
      <x:c r="F11" s="8" t="n">
        <x:f>E11-D11</x:f>
        <x:v>36.20130330673221</x:v>
      </x:c>
      <x:c r="G11" s="8" t="n">
        <x:f>K11*L11</x:f>
        <x:v>154000</x:v>
      </x:c>
      <x:c r="H11" s="7" t="n">
        <x:f>F5*G5</x:f>
        <x:v>123232.24477832037</x:v>
      </x:c>
      <x:c r="I11" t="str">
        <x:f>IF(H11&gt;=0,"이익","손해")</x:f>
        <x:v>이익</x:v>
      </x:c>
      <x:c r="J11" t="str">
        <x:v>KPI_U04_STEAM_M01</x:v>
      </x:c>
      <x:c r="K11" t="n">
        <x:f>G5/L5</x:f>
        <x:v>154000</x:v>
      </x:c>
      <x:c r="L11" t="n">
        <x:f>IF(YEAR(B5)=2024,1,1)</x:f>
        <x:v>1</x:v>
      </x:c>
      <x:c r="M11" t="str">
        <x:v>원/ton</x:v>
      </x:c>
      <x:c r="N11" t="str">
        <x:v>(목표-실제)×손익반영단가</x:v>
      </x:c>
    </x:row>
    <x:row r="12">
      <x:c r="A12" t="str">
        <x:f>'일별 KPI·변수'!A4</x:f>
        <x:v>2024년 2월 14일 ~ 2월 22일</x:v>
      </x:c>
      <x:c r="B12" t="str">
        <x:f>'일별 KPI·변수'!B4</x:f>
        <x:v>2024-02-16</x:v>
      </x:c>
      <x:c r="C12" t="str">
        <x:v>가스량</x:v>
      </x:c>
      <x:c r="D12" s="8" t="n">
        <x:f>'일별 KPI·변수'!O4</x:f>
        <x:v>1048867.011069921</x:v>
      </x:c>
      <x:c r="E12" s="8" t="n">
        <x:f>IF(YEAR(B6)=2024,'원가 기준'!$G$4,'원가 기준'!$G$5)</x:f>
        <x:v>1042423.4621</x:v>
      </x:c>
      <x:c r="F12" s="8" t="n">
        <x:f>D12-E12</x:f>
        <x:v>6443.548969921074</x:v>
      </x:c>
      <x:c r="G12" s="8" t="n">
        <x:f>K12*L12</x:f>
        <x:v>90</x:v>
      </x:c>
      <x:c r="H12" s="7" t="n">
        <x:f>F6*G6</x:f>
        <x:v>628069.3895506993</x:v>
      </x:c>
      <x:c r="I12" t="str">
        <x:f>IF(H12&gt;=0,"이익","손해")</x:f>
        <x:v>이익</x:v>
      </x:c>
      <x:c r="J12" t="str">
        <x:v>KPI_U04_QTY_G01</x:v>
      </x:c>
      <x:c r="K12" t="n">
        <x:f>IF(YEAR(B6)=2024,'원가 기준'!$C$4,'원가 기준'!$C$5)</x:f>
        <x:v>300</x:v>
      </x:c>
      <x:c r="L12" t="n">
        <x:f>IF(YEAR(B6)=2024,'원가 기준'!$D$4,'원가 기준'!$D$5)</x:f>
        <x:v>0.3</x:v>
      </x:c>
      <x:c r="M12" t="str">
        <x:v>원/Nm3</x:v>
      </x:c>
      <x:c r="N12" t="str">
        <x:v>(실제-목표)×손익반영단가</x:v>
      </x:c>
    </x:row>
    <x:row r="13">
      <x:c r="A13" t="str">
        <x:f>'일별 KPI·변수'!A4</x:f>
        <x:v>2024년 2월 14일 ~ 2월 22일</x:v>
      </x:c>
      <x:c r="B13" t="str">
        <x:f>'일별 KPI·변수'!B4</x:f>
        <x:v>2024-02-16</x:v>
      </x:c>
      <x:c r="C13" t="str">
        <x:v>약품 A</x:v>
      </x:c>
      <x:c r="D13" s="8" t="n">
        <x:f>'일별 KPI·변수'!V4</x:f>
        <x:v>495.8681006805057</x:v>
      </x:c>
      <x:c r="E13" s="8" t="n">
        <x:f>'원가 기준'!$G$6</x:f>
        <x:v>497.46725</x:v>
      </x:c>
      <x:c r="F13" s="8" t="n">
        <x:f>E13-D13</x:f>
        <x:v>1.5991493194943018</x:v>
      </x:c>
      <x:c r="G13" s="8" t="n">
        <x:f>K13*L13</x:f>
        <x:v>154000</x:v>
      </x:c>
      <x:c r="H13" s="7" t="n">
        <x:f>F6*G6</x:f>
        <x:v>628069.3895506993</x:v>
      </x:c>
      <x:c r="I13" t="str">
        <x:f>IF(H13&gt;=0,"이익","손해")</x:f>
        <x:v>이익</x:v>
      </x:c>
      <x:c r="J13" t="str">
        <x:v>KPI_U04_CHEM_M01</x:v>
      </x:c>
      <x:c r="K13" t="n">
        <x:f>'원가 기준'!$C$6</x:f>
        <x:v>154000</x:v>
      </x:c>
      <x:c r="L13" t="n">
        <x:f>'원가 기준'!$D$6</x:f>
        <x:v>1</x:v>
      </x:c>
      <x:c r="M13" t="str">
        <x:v>원/kg</x:v>
      </x:c>
      <x:c r="N13" t="str">
        <x:v>(목표-실제)×손익반영단가</x:v>
      </x:c>
    </x:row>
    <x:row r="14">
      <x:c r="A14" t="str">
        <x:f>'일별 KPI·변수'!A4</x:f>
        <x:v>2024년 2월 14일 ~ 2월 22일</x:v>
      </x:c>
      <x:c r="B14" t="str">
        <x:f>'일별 KPI·변수'!B4</x:f>
        <x:v>2024-02-16</x:v>
      </x:c>
      <x:c r="C14" t="str">
        <x:v>약품 B</x:v>
      </x:c>
      <x:c r="D14" s="8" t="n">
        <x:f>'일별 KPI·변수'!W4</x:f>
        <x:v>890.7069407962196</x:v>
      </x:c>
      <x:c r="E14" s="8" t="n">
        <x:f>'원가 기준'!$G$7</x:f>
        <x:v>898.13507</x:v>
      </x:c>
      <x:c r="F14" s="8" t="n">
        <x:f>E14-D14</x:f>
        <x:v>7.428129203780486</x:v>
      </x:c>
      <x:c r="G14" s="8" t="n">
        <x:f>K14*L14</x:f>
        <x:v>128000</x:v>
      </x:c>
      <x:c r="H14" s="7" t="n">
        <x:f>F6*G6</x:f>
        <x:v>628069.3895506993</x:v>
      </x:c>
      <x:c r="I14" t="str">
        <x:f>IF(H14&gt;=0,"이익","손해")</x:f>
        <x:v>이익</x:v>
      </x:c>
      <x:c r="J14" t="str">
        <x:v>KPI_U04_CHEM_M02</x:v>
      </x:c>
      <x:c r="K14" t="n">
        <x:f>'원가 기준'!$C$7</x:f>
        <x:v>128000</x:v>
      </x:c>
      <x:c r="L14" t="n">
        <x:f>'원가 기준'!$D$7</x:f>
        <x:v>1</x:v>
      </x:c>
      <x:c r="M14" t="str">
        <x:v>원/kg</x:v>
      </x:c>
      <x:c r="N14" t="str">
        <x:v>(목표-실제)×손익반영단가</x:v>
      </x:c>
    </x:row>
    <x:row r="15">
      <x:c r="A15" t="str">
        <x:f>'일별 KPI·변수'!A4</x:f>
        <x:v>2024년 2월 14일 ~ 2월 22일</x:v>
      </x:c>
      <x:c r="B15" t="str">
        <x:f>'일별 KPI·변수'!B4</x:f>
        <x:v>2024-02-16</x:v>
      </x:c>
      <x:c r="C15" t="str">
        <x:v>스팀</x:v>
      </x:c>
      <x:c r="D15" s="8" t="n">
        <x:f>'추가 변수'!B4</x:f>
        <x:v>0.2531696625245365</x:v>
      </x:c>
      <x:c r="E15" s="8" t="n">
        <x:f>IF(YEAR(B6)=2024,IF(MONTH(B6)&lt;=3,'원가 기준'!$G$8,IF(MONTH(B6)&lt;=6,'원가 기준'!$G$9,IF(MONTH(B6)&lt;=9,'원가 기준'!$G$10,'원가 기준'!$G$13))),IF(MONTH(B6)&lt;=3,'원가 기준'!$G$14,IF(MONTH(B6)&lt;=6,'원가 기준'!$G$15,'원가 기준'!$G$16)))</x:f>
        <x:v>36.4426</x:v>
      </x:c>
      <x:c r="F15" s="8" t="n">
        <x:f>E15-D15</x:f>
        <x:v>36.189430337475464</x:v>
      </x:c>
      <x:c r="G15" s="8" t="n">
        <x:f>K15*L15</x:f>
        <x:v>128000</x:v>
      </x:c>
      <x:c r="H15" s="7" t="n">
        <x:f>F6*G6</x:f>
        <x:v>628069.3895506993</x:v>
      </x:c>
      <x:c r="I15" t="str">
        <x:f>IF(H15&gt;=0,"이익","손해")</x:f>
        <x:v>이익</x:v>
      </x:c>
      <x:c r="J15" t="str">
        <x:v>KPI_U04_STEAM_M01</x:v>
      </x:c>
      <x:c r="K15" t="n">
        <x:f>G6/L6</x:f>
        <x:v>128000</x:v>
      </x:c>
      <x:c r="L15" t="n">
        <x:f>IF(YEAR(B6)=2024,1,1)</x:f>
        <x:v>1</x:v>
      </x:c>
      <x:c r="M15" t="str">
        <x:v>원/ton</x:v>
      </x:c>
      <x:c r="N15" t="str">
        <x:v>(목표-실제)×손익반영단가</x:v>
      </x:c>
    </x:row>
    <x:row r="16">
      <x:c r="A16" t="str">
        <x:f>'일별 KPI·변수'!A5</x:f>
        <x:v>2024년 2월 14일 ~ 2월 22일</x:v>
      </x:c>
      <x:c r="B16" t="str">
        <x:f>'일별 KPI·변수'!B5</x:f>
        <x:v>2024-02-17</x:v>
      </x:c>
      <x:c r="C16" t="str">
        <x:v>가스량</x:v>
      </x:c>
      <x:c r="D16" s="8" t="n">
        <x:f>'일별 KPI·변수'!O5</x:f>
        <x:v>1054094.209978183</x:v>
      </x:c>
      <x:c r="E16" s="8" t="n">
        <x:f>IF(YEAR(B7)=2024,'원가 기준'!$G$4,'원가 기준'!$G$5)</x:f>
        <x:v>1042423.4621</x:v>
      </x:c>
      <x:c r="F16" s="8" t="n">
        <x:f>D16-E16</x:f>
        <x:v>11670.747878183029</x:v>
      </x:c>
      <x:c r="G16" s="8" t="n">
        <x:f>K16*L16</x:f>
        <x:v>90</x:v>
      </x:c>
      <x:c r="H16" s="7" t="n">
        <x:f>F7*G7</x:f>
        <x:v>10858.6034584764</x:v>
      </x:c>
      <x:c r="I16" t="str">
        <x:f>IF(H16&gt;=0,"이익","손해")</x:f>
        <x:v>이익</x:v>
      </x:c>
      <x:c r="J16" t="str">
        <x:v>KPI_U04_QTY_G01</x:v>
      </x:c>
      <x:c r="K16" t="n">
        <x:f>IF(YEAR(B7)=2024,'원가 기준'!$C$4,'원가 기준'!$C$5)</x:f>
        <x:v>300</x:v>
      </x:c>
      <x:c r="L16" t="n">
        <x:f>IF(YEAR(B7)=2024,'원가 기준'!$D$4,'원가 기준'!$D$5)</x:f>
        <x:v>0.3</x:v>
      </x:c>
      <x:c r="M16" t="str">
        <x:v>원/Nm3</x:v>
      </x:c>
      <x:c r="N16" t="str">
        <x:v>(실제-목표)×손익반영단가</x:v>
      </x:c>
    </x:row>
    <x:row r="17">
      <x:c r="A17" t="str">
        <x:f>'일별 KPI·변수'!A5</x:f>
        <x:v>2024년 2월 14일 ~ 2월 22일</x:v>
      </x:c>
      <x:c r="B17" t="str">
        <x:f>'일별 KPI·변수'!B5</x:f>
        <x:v>2024-02-17</x:v>
      </x:c>
      <x:c r="C17" t="str">
        <x:v>약품 A</x:v>
      </x:c>
      <x:c r="D17" s="8" t="n">
        <x:f>'일별 KPI·변수'!V5</x:f>
        <x:v>491.4511324944451</x:v>
      </x:c>
      <x:c r="E17" s="8" t="n">
        <x:f>'원가 기준'!$G$6</x:f>
        <x:v>497.46725</x:v>
      </x:c>
      <x:c r="F17" s="8" t="n">
        <x:f>E17-D17</x:f>
        <x:v>6.01611750555486</x:v>
      </x:c>
      <x:c r="G17" s="8" t="n">
        <x:f>K17*L17</x:f>
        <x:v>154000</x:v>
      </x:c>
      <x:c r="H17" s="7" t="n">
        <x:f>F7*G7</x:f>
        <x:v>10858.6034584764</x:v>
      </x:c>
      <x:c r="I17" t="str">
        <x:f>IF(H17&gt;=0,"이익","손해")</x:f>
        <x:v>이익</x:v>
      </x:c>
      <x:c r="J17" t="str">
        <x:v>KPI_U04_CHEM_M01</x:v>
      </x:c>
      <x:c r="K17" t="n">
        <x:f>'원가 기준'!$C$6</x:f>
        <x:v>154000</x:v>
      </x:c>
      <x:c r="L17" t="n">
        <x:f>'원가 기준'!$D$6</x:f>
        <x:v>1</x:v>
      </x:c>
      <x:c r="M17" t="str">
        <x:v>원/kg</x:v>
      </x:c>
      <x:c r="N17" t="str">
        <x:v>(목표-실제)×손익반영단가</x:v>
      </x:c>
    </x:row>
    <x:row r="18">
      <x:c r="A18" t="str">
        <x:f>'일별 KPI·변수'!A5</x:f>
        <x:v>2024년 2월 14일 ~ 2월 22일</x:v>
      </x:c>
      <x:c r="B18" t="str">
        <x:f>'일별 KPI·변수'!B5</x:f>
        <x:v>2024-02-17</x:v>
      </x:c>
      <x:c r="C18" t="str">
        <x:v>약품 B</x:v>
      </x:c>
      <x:c r="D18" s="8" t="n">
        <x:f>'일별 KPI·변수'!W5</x:f>
        <x:v>893.6168320568434</x:v>
      </x:c>
      <x:c r="E18" s="8" t="n">
        <x:f>'원가 기준'!$G$7</x:f>
        <x:v>898.13507</x:v>
      </x:c>
      <x:c r="F18" s="8" t="n">
        <x:f>E18-D18</x:f>
        <x:v>4.5182379431566915</x:v>
      </x:c>
      <x:c r="G18" s="8" t="n">
        <x:f>K18*L18</x:f>
        <x:v>128000</x:v>
      </x:c>
      <x:c r="H18" s="7" t="n">
        <x:f>F7*G7</x:f>
        <x:v>10858.6034584764</x:v>
      </x:c>
      <x:c r="I18" t="str">
        <x:f>IF(H18&gt;=0,"이익","손해")</x:f>
        <x:v>이익</x:v>
      </x:c>
      <x:c r="J18" t="str">
        <x:v>KPI_U04_CHEM_M02</x:v>
      </x:c>
      <x:c r="K18" t="n">
        <x:f>'원가 기준'!$C$7</x:f>
        <x:v>128000</x:v>
      </x:c>
      <x:c r="L18" t="n">
        <x:f>'원가 기준'!$D$7</x:f>
        <x:v>1</x:v>
      </x:c>
      <x:c r="M18" t="str">
        <x:v>원/kg</x:v>
      </x:c>
      <x:c r="N18" t="str">
        <x:v>(목표-실제)×손익반영단가</x:v>
      </x:c>
    </x:row>
    <x:row r="19">
      <x:c r="A19" t="str">
        <x:f>'일별 KPI·변수'!A5</x:f>
        <x:v>2024년 2월 14일 ~ 2월 22일</x:v>
      </x:c>
      <x:c r="B19" t="str">
        <x:f>'일별 KPI·변수'!B5</x:f>
        <x:v>2024-02-17</x:v>
      </x:c>
      <x:c r="C19" t="str">
        <x:v>스팀</x:v>
      </x:c>
      <x:c r="D19" s="8" t="n">
        <x:f>'추가 변수'!B5</x:f>
        <x:v>0.2526216615561918</x:v>
      </x:c>
      <x:c r="E19" s="8" t="n">
        <x:f>IF(YEAR(B7)=2024,IF(MONTH(B7)&lt;=3,'원가 기준'!$G$8,IF(MONTH(B7)&lt;=6,'원가 기준'!$G$9,IF(MONTH(B7)&lt;=9,'원가 기준'!$G$10,'원가 기준'!$G$13))),IF(MONTH(B7)&lt;=3,'원가 기준'!$G$14,IF(MONTH(B7)&lt;=6,'원가 기준'!$G$15,'원가 기준'!$G$16)))</x:f>
        <x:v>36.4426</x:v>
      </x:c>
      <x:c r="F19" s="8" t="n">
        <x:f>E19-D19</x:f>
        <x:v>36.18997833844381</x:v>
      </x:c>
      <x:c r="G19" s="8" t="n">
        <x:f>K19*L19</x:f>
        <x:v>300</x:v>
      </x:c>
      <x:c r="H19" s="7" t="n">
        <x:f>F7*G7</x:f>
        <x:v>10858.6034584764</x:v>
      </x:c>
      <x:c r="I19" t="str">
        <x:f>IF(H19&gt;=0,"이익","손해")</x:f>
        <x:v>이익</x:v>
      </x:c>
      <x:c r="J19" t="str">
        <x:v>KPI_U04_STEAM_M01</x:v>
      </x:c>
      <x:c r="K19" t="n">
        <x:f>G7/L7</x:f>
        <x:v>300</x:v>
      </x:c>
      <x:c r="L19" t="n">
        <x:f>IF(YEAR(B7)=2024,1,1)</x:f>
        <x:v>1</x:v>
      </x:c>
      <x:c r="M19" t="str">
        <x:v>원/ton</x:v>
      </x:c>
      <x:c r="N19" t="str">
        <x:v>(목표-실제)×손익반영단가</x:v>
      </x:c>
    </x:row>
    <x:row r="20">
      <x:c r="A20" t="str">
        <x:f>'일별 KPI·변수'!A6</x:f>
        <x:v>2024년 2월 14일 ~ 2월 22일</x:v>
      </x:c>
      <x:c r="B20" t="str">
        <x:f>'일별 KPI·변수'!B6</x:f>
        <x:v>2024-02-18</x:v>
      </x:c>
      <x:c r="C20" t="str">
        <x:v>가스량</x:v>
      </x:c>
      <x:c r="D20" s="8" t="n">
        <x:f>'일별 KPI·변수'!O6</x:f>
        <x:v>1074826.174181218</x:v>
      </x:c>
      <x:c r="E20" s="8" t="n">
        <x:f>IF(YEAR(B8)=2024,'원가 기준'!$G$4,'원가 기준'!$G$5)</x:f>
        <x:v>1042423.4621</x:v>
      </x:c>
      <x:c r="F20" s="8" t="n">
        <x:f>D20-E20</x:f>
        <x:v>32402.712081218022</x:v>
      </x:c>
      <x:c r="G20" s="8" t="n">
        <x:f>K20*L20</x:f>
        <x:v>90</x:v>
      </x:c>
      <x:c r="H20" s="7" t="n">
        <x:f>F8*G8</x:f>
        <x:v>1462602.6099935977</x:v>
      </x:c>
      <x:c r="I20" t="str">
        <x:f>IF(H20&gt;=0,"이익","손해")</x:f>
        <x:v>이익</x:v>
      </x:c>
      <x:c r="J20" t="str">
        <x:v>KPI_U04_QTY_G01</x:v>
      </x:c>
      <x:c r="K20" t="n">
        <x:f>IF(YEAR(B8)=2024,'원가 기준'!$C$4,'원가 기준'!$C$5)</x:f>
        <x:v>300</x:v>
      </x:c>
      <x:c r="L20" t="n">
        <x:f>IF(YEAR(B8)=2024,'원가 기준'!$D$4,'원가 기준'!$D$5)</x:f>
        <x:v>0.3</x:v>
      </x:c>
      <x:c r="M20" t="str">
        <x:v>원/Nm3</x:v>
      </x:c>
      <x:c r="N20" t="str">
        <x:v>(실제-목표)×손익반영단가</x:v>
      </x:c>
    </x:row>
    <x:row r="21">
      <x:c r="A21" t="str">
        <x:f>'일별 KPI·변수'!A6</x:f>
        <x:v>2024년 2월 14일 ~ 2월 22일</x:v>
      </x:c>
      <x:c r="B21" t="str">
        <x:f>'일별 KPI·변수'!B6</x:f>
        <x:v>2024-02-18</x:v>
      </x:c>
      <x:c r="C21" t="str">
        <x:v>약품 A</x:v>
      </x:c>
      <x:c r="D21" s="8" t="n">
        <x:f>'일별 KPI·변수'!V6</x:f>
        <x:v>500.1834805078416</x:v>
      </x:c>
      <x:c r="E21" s="8" t="n">
        <x:f>'원가 기준'!$G$6</x:f>
        <x:v>497.46725</x:v>
      </x:c>
      <x:c r="F21" s="8" t="n">
        <x:f>E21-D21</x:f>
        <x:v>-2.716230507841601</x:v>
      </x:c>
      <x:c r="G21" s="8" t="n">
        <x:f>K21*L21</x:f>
        <x:v>154000</x:v>
      </x:c>
      <x:c r="H21" s="7" t="n">
        <x:f>F8*G8</x:f>
        <x:v>1462602.6099935977</x:v>
      </x:c>
      <x:c r="I21" t="str">
        <x:f>IF(H21&gt;=0,"이익","손해")</x:f>
        <x:v>이익</x:v>
      </x:c>
      <x:c r="J21" t="str">
        <x:v>KPI_U04_CHEM_M01</x:v>
      </x:c>
      <x:c r="K21" t="n">
        <x:f>'원가 기준'!$C$6</x:f>
        <x:v>154000</x:v>
      </x:c>
      <x:c r="L21" t="n">
        <x:f>'원가 기준'!$D$6</x:f>
        <x:v>1</x:v>
      </x:c>
      <x:c r="M21" t="str">
        <x:v>원/kg</x:v>
      </x:c>
      <x:c r="N21" t="str">
        <x:v>(목표-실제)×손익반영단가</x:v>
      </x:c>
    </x:row>
    <x:row r="22">
      <x:c r="A22" t="str">
        <x:f>'일별 KPI·변수'!A6</x:f>
        <x:v>2024년 2월 14일 ~ 2월 22일</x:v>
      </x:c>
      <x:c r="B22" t="str">
        <x:f>'일별 KPI·변수'!B6</x:f>
        <x:v>2024-02-18</x:v>
      </x:c>
      <x:c r="C22" t="str">
        <x:v>약품 B</x:v>
      </x:c>
      <x:c r="D22" s="8" t="n">
        <x:f>'일별 KPI·변수'!W6</x:f>
        <x:v>900.5480854501401</x:v>
      </x:c>
      <x:c r="E22" s="8" t="n">
        <x:f>'원가 기준'!$G$7</x:f>
        <x:v>898.13507</x:v>
      </x:c>
      <x:c r="F22" s="8" t="n">
        <x:f>E22-D22</x:f>
        <x:v>-2.413015450140051</x:v>
      </x:c>
      <x:c r="G22" s="8" t="n">
        <x:f>K22*L22</x:f>
        <x:v>128000</x:v>
      </x:c>
      <x:c r="H22" s="7" t="n">
        <x:f>F8*G8</x:f>
        <x:v>1462602.6099935977</x:v>
      </x:c>
      <x:c r="I22" t="str">
        <x:f>IF(H22&gt;=0,"이익","손해")</x:f>
        <x:v>이익</x:v>
      </x:c>
      <x:c r="J22" t="str">
        <x:v>KPI_U04_CHEM_M02</x:v>
      </x:c>
      <x:c r="K22" t="n">
        <x:f>'원가 기준'!$C$7</x:f>
        <x:v>128000</x:v>
      </x:c>
      <x:c r="L22" t="n">
        <x:f>'원가 기준'!$D$7</x:f>
        <x:v>1</x:v>
      </x:c>
      <x:c r="M22" t="str">
        <x:v>원/kg</x:v>
      </x:c>
      <x:c r="N22" t="str">
        <x:v>(목표-실제)×손익반영단가</x:v>
      </x:c>
    </x:row>
    <x:row r="23">
      <x:c r="A23" t="str">
        <x:f>'일별 KPI·변수'!A6</x:f>
        <x:v>2024년 2월 14일 ~ 2월 22일</x:v>
      </x:c>
      <x:c r="B23" t="str">
        <x:f>'일별 KPI·변수'!B6</x:f>
        <x:v>2024-02-18</x:v>
      </x:c>
      <x:c r="C23" t="str">
        <x:v>스팀</x:v>
      </x:c>
      <x:c r="D23" s="8" t="n">
        <x:f>'추가 변수'!B6</x:f>
        <x:v>0.2509899943502062</x:v>
      </x:c>
      <x:c r="E23" s="8" t="n">
        <x:f>IF(YEAR(B8)=2024,IF(MONTH(B8)&lt;=3,'원가 기준'!$G$8,IF(MONTH(B8)&lt;=6,'원가 기준'!$G$9,IF(MONTH(B8)&lt;=9,'원가 기준'!$G$10,'원가 기준'!$G$13))),IF(MONTH(B8)&lt;=3,'원가 기준'!$G$14,IF(MONTH(B8)&lt;=6,'원가 기준'!$G$15,'원가 기준'!$G$16)))</x:f>
        <x:v>36.4426</x:v>
      </x:c>
      <x:c r="F23" s="8" t="n">
        <x:f>E23-D23</x:f>
        <x:v>36.19161000564979</x:v>
      </x:c>
      <x:c r="G23" s="8" t="n">
        <x:f>K23*L23</x:f>
        <x:v>300</x:v>
      </x:c>
      <x:c r="H23" s="7" t="n">
        <x:f>F8*G8</x:f>
        <x:v>1462602.6099935977</x:v>
      </x:c>
      <x:c r="I23" t="str">
        <x:f>IF(H23&gt;=0,"이익","손해")</x:f>
        <x:v>이익</x:v>
      </x:c>
      <x:c r="J23" t="str">
        <x:v>KPI_U04_STEAM_M01</x:v>
      </x:c>
      <x:c r="K23" t="n">
        <x:f>G8/L8</x:f>
        <x:v>300</x:v>
      </x:c>
      <x:c r="L23" t="n">
        <x:f>IF(YEAR(B8)=2024,1,1)</x:f>
        <x:v>1</x:v>
      </x:c>
      <x:c r="M23" t="str">
        <x:v>원/ton</x:v>
      </x:c>
      <x:c r="N23" t="str">
        <x:v>(목표-실제)×손익반영단가</x:v>
      </x:c>
    </x:row>
    <x:row r="24">
      <x:c r="A24" t="str">
        <x:f>'일별 KPI·변수'!A7</x:f>
        <x:v>2024년 2월 14일 ~ 2월 22일</x:v>
      </x:c>
      <x:c r="B24" t="str">
        <x:f>'일별 KPI·변수'!B7</x:f>
        <x:v>2024-02-19</x:v>
      </x:c>
      <x:c r="C24" t="str">
        <x:v>가스량</x:v>
      </x:c>
      <x:c r="D24" s="8" t="n">
        <x:f>'일별 KPI·변수'!O7</x:f>
        <x:v>1061697.271758878</x:v>
      </x:c>
      <x:c r="E24" s="8" t="n">
        <x:f>IF(YEAR(B9)=2024,'원가 기준'!$G$4,'원가 기준'!$G$5)</x:f>
        <x:v>1042423.4621</x:v>
      </x:c>
      <x:c r="F24" s="8" t="n">
        <x:f>D24-E24</x:f>
        <x:v>19273.8096588779</x:v>
      </x:c>
      <x:c r="G24" s="8" t="n">
        <x:f>K24*L24</x:f>
        <x:v>90</x:v>
      </x:c>
      <x:c r="H24" s="7" t="n">
        <x:f>F9*G9</x:f>
        <x:v>524901.0090704233</x:v>
      </x:c>
      <x:c r="I24" t="str">
        <x:f>IF(H24&gt;=0,"이익","손해")</x:f>
        <x:v>이익</x:v>
      </x:c>
      <x:c r="J24" t="str">
        <x:v>KPI_U04_QTY_G01</x:v>
      </x:c>
      <x:c r="K24" t="n">
        <x:f>IF(YEAR(B9)=2024,'원가 기준'!$C$4,'원가 기준'!$C$5)</x:f>
        <x:v>300</x:v>
      </x:c>
      <x:c r="L24" t="n">
        <x:f>IF(YEAR(B9)=2024,'원가 기준'!$D$4,'원가 기준'!$D$5)</x:f>
        <x:v>0.3</x:v>
      </x:c>
      <x:c r="M24" t="str">
        <x:v>원/Nm3</x:v>
      </x:c>
      <x:c r="N24" t="str">
        <x:v>(실제-목표)×손익반영단가</x:v>
      </x:c>
    </x:row>
    <x:row r="25">
      <x:c r="A25" t="str">
        <x:f>'일별 KPI·변수'!A7</x:f>
        <x:v>2024년 2월 14일 ~ 2월 22일</x:v>
      </x:c>
      <x:c r="B25" t="str">
        <x:f>'일별 KPI·변수'!B7</x:f>
        <x:v>2024-02-19</x:v>
      </x:c>
      <x:c r="C25" t="str">
        <x:v>약품 A</x:v>
      </x:c>
      <x:c r="D25" s="8" t="n">
        <x:f>'일별 KPI·변수'!V7</x:f>
        <x:v>502.1138063496774</x:v>
      </x:c>
      <x:c r="E25" s="8" t="n">
        <x:f>'원가 기준'!$G$6</x:f>
        <x:v>497.46725</x:v>
      </x:c>
      <x:c r="F25" s="8" t="n">
        <x:f>E25-D25</x:f>
        <x:v>-4.646556349677439</x:v>
      </x:c>
      <x:c r="G25" s="8" t="n">
        <x:f>K25*L25</x:f>
        <x:v>154000</x:v>
      </x:c>
      <x:c r="H25" s="7" t="n">
        <x:f>F9*G9</x:f>
        <x:v>524901.0090704233</x:v>
      </x:c>
      <x:c r="I25" t="str">
        <x:f>IF(H25&gt;=0,"이익","손해")</x:f>
        <x:v>이익</x:v>
      </x:c>
      <x:c r="J25" t="str">
        <x:v>KPI_U04_CHEM_M01</x:v>
      </x:c>
      <x:c r="K25" t="n">
        <x:f>'원가 기준'!$C$6</x:f>
        <x:v>154000</x:v>
      </x:c>
      <x:c r="L25" t="n">
        <x:f>'원가 기준'!$D$6</x:f>
        <x:v>1</x:v>
      </x:c>
      <x:c r="M25" t="str">
        <x:v>원/kg</x:v>
      </x:c>
      <x:c r="N25" t="str">
        <x:v>(목표-실제)×손익반영단가</x:v>
      </x:c>
    </x:row>
    <x:row r="26">
      <x:c r="A26" t="str">
        <x:f>'일별 KPI·변수'!A7</x:f>
        <x:v>2024년 2월 14일 ~ 2월 22일</x:v>
      </x:c>
      <x:c r="B26" t="str">
        <x:f>'일별 KPI·변수'!B7</x:f>
        <x:v>2024-02-19</x:v>
      </x:c>
      <x:c r="C26" t="str">
        <x:v>약품 B</x:v>
      </x:c>
      <x:c r="D26" s="8" t="n">
        <x:f>'일별 KPI·변수'!W7</x:f>
        <x:v>890.0082308908703</x:v>
      </x:c>
      <x:c r="E26" s="8" t="n">
        <x:f>'원가 기준'!$G$7</x:f>
        <x:v>898.13507</x:v>
      </x:c>
      <x:c r="F26" s="8" t="n">
        <x:f>E26-D26</x:f>
        <x:v>8.126839109129719</x:v>
      </x:c>
      <x:c r="G26" s="8" t="n">
        <x:f>K26*L26</x:f>
        <x:v>128000</x:v>
      </x:c>
      <x:c r="H26" s="7" t="n">
        <x:f>F9*G9</x:f>
        <x:v>524901.0090704233</x:v>
      </x:c>
      <x:c r="I26" t="str">
        <x:f>IF(H26&gt;=0,"이익","손해")</x:f>
        <x:v>이익</x:v>
      </x:c>
      <x:c r="J26" t="str">
        <x:v>KPI_U04_CHEM_M02</x:v>
      </x:c>
      <x:c r="K26" t="n">
        <x:f>'원가 기준'!$C$7</x:f>
        <x:v>128000</x:v>
      </x:c>
      <x:c r="L26" t="n">
        <x:f>'원가 기준'!$D$7</x:f>
        <x:v>1</x:v>
      </x:c>
      <x:c r="M26" t="str">
        <x:v>원/kg</x:v>
      </x:c>
      <x:c r="N26" t="str">
        <x:v>(목표-실제)×손익반영단가</x:v>
      </x:c>
    </x:row>
    <x:row r="27">
      <x:c r="A27" t="str">
        <x:f>'일별 KPI·변수'!A7</x:f>
        <x:v>2024년 2월 14일 ~ 2월 22일</x:v>
      </x:c>
      <x:c r="B27" t="str">
        <x:f>'일별 KPI·변수'!B7</x:f>
        <x:v>2024-02-19</x:v>
      </x:c>
      <x:c r="C27" t="str">
        <x:v>스팀</x:v>
      </x:c>
      <x:c r="D27" s="8" t="n">
        <x:f>'추가 변수'!B7</x:f>
        <x:v>0.2500327211521529</x:v>
      </x:c>
      <x:c r="E27" s="8" t="n">
        <x:f>IF(YEAR(B9)=2024,IF(MONTH(B9)&lt;=3,'원가 기준'!$G$8,IF(MONTH(B9)&lt;=6,'원가 기준'!$G$9,IF(MONTH(B9)&lt;=9,'원가 기준'!$G$10,'원가 기준'!$G$13))),IF(MONTH(B9)&lt;=3,'원가 기준'!$G$14,IF(MONTH(B9)&lt;=6,'원가 기준'!$G$15,'원가 기준'!$G$16)))</x:f>
        <x:v>36.4426</x:v>
      </x:c>
      <x:c r="F27" s="8" t="n">
        <x:f>E27-D27</x:f>
        <x:v>36.19256727884785</x:v>
      </x:c>
      <x:c r="G27" s="8" t="n">
        <x:f>K27*L27</x:f>
        <x:v>154000</x:v>
      </x:c>
      <x:c r="H27" s="7" t="n">
        <x:f>F9*G9</x:f>
        <x:v>524901.0090704233</x:v>
      </x:c>
      <x:c r="I27" t="str">
        <x:f>IF(H27&gt;=0,"이익","손해")</x:f>
        <x:v>이익</x:v>
      </x:c>
      <x:c r="J27" t="str">
        <x:v>KPI_U04_STEAM_M01</x:v>
      </x:c>
      <x:c r="K27" t="n">
        <x:f>G9/L9</x:f>
        <x:v>154000</x:v>
      </x:c>
      <x:c r="L27" t="n">
        <x:f>IF(YEAR(B9)=2024,1,1)</x:f>
        <x:v>1</x:v>
      </x:c>
      <x:c r="M27" t="str">
        <x:v>원/ton</x:v>
      </x:c>
      <x:c r="N27" t="str">
        <x:v>(목표-실제)×손익반영단가</x:v>
      </x:c>
    </x:row>
    <x:row r="28">
      <x:c r="A28" t="str">
        <x:f>'일별 KPI·변수'!A8</x:f>
        <x:v>2024년 2월 14일 ~ 2월 22일</x:v>
      </x:c>
      <x:c r="B28" t="str">
        <x:f>'일별 KPI·변수'!B8</x:f>
        <x:v>2024-02-20</x:v>
      </x:c>
      <x:c r="C28" t="str">
        <x:v>가스량</x:v>
      </x:c>
      <x:c r="D28" s="8" t="n">
        <x:f>'일별 KPI·변수'!O8</x:f>
        <x:v>1048536.840689888</x:v>
      </x:c>
      <x:c r="E28" s="8" t="n">
        <x:f>IF(YEAR(B10)=2024,'원가 기준'!$G$4,'원가 기준'!$G$5)</x:f>
        <x:v>1042423.4621</x:v>
      </x:c>
      <x:c r="F28" s="8" t="n">
        <x:f>D28-E28</x:f>
        <x:v>6113.378589887987</x:v>
      </x:c>
      <x:c r="G28" s="8" t="n">
        <x:f>K28*L28</x:f>
        <x:v>90</x:v>
      </x:c>
      <x:c r="H28" s="7" t="n">
        <x:f>F10*G10</x:f>
        <x:v>-193002.92168602755</x:v>
      </x:c>
      <x:c r="I28" t="str">
        <x:f>IF(H28&gt;=0,"이익","손해")</x:f>
        <x:v>손해</x:v>
      </x:c>
      <x:c r="J28" t="str">
        <x:v>KPI_U04_QTY_G01</x:v>
      </x:c>
      <x:c r="K28" t="n">
        <x:f>IF(YEAR(B10)=2024,'원가 기준'!$C$4,'원가 기준'!$C$5)</x:f>
        <x:v>300</x:v>
      </x:c>
      <x:c r="L28" t="n">
        <x:f>IF(YEAR(B10)=2024,'원가 기준'!$D$4,'원가 기준'!$D$5)</x:f>
        <x:v>0.3</x:v>
      </x:c>
      <x:c r="M28" t="str">
        <x:v>원/Nm3</x:v>
      </x:c>
      <x:c r="N28" t="str">
        <x:v>(실제-목표)×손익반영단가</x:v>
      </x:c>
    </x:row>
    <x:row r="29">
      <x:c r="A29" t="str">
        <x:f>'일별 KPI·변수'!A8</x:f>
        <x:v>2024년 2월 14일 ~ 2월 22일</x:v>
      </x:c>
      <x:c r="B29" t="str">
        <x:f>'일별 KPI·변수'!B8</x:f>
        <x:v>2024-02-20</x:v>
      </x:c>
      <x:c r="C29" t="str">
        <x:v>약품 A</x:v>
      </x:c>
      <x:c r="D29" s="8" t="n">
        <x:f>'일별 KPI·변수'!V8</x:f>
        <x:v>496.0385447607159</x:v>
      </x:c>
      <x:c r="E29" s="8" t="n">
        <x:f>'원가 기준'!$G$6</x:f>
        <x:v>497.46725</x:v>
      </x:c>
      <x:c r="F29" s="8" t="n">
        <x:f>E29-D29</x:f>
        <x:v>1.4287052392840565</x:v>
      </x:c>
      <x:c r="G29" s="8" t="n">
        <x:f>K29*L29</x:f>
        <x:v>154000</x:v>
      </x:c>
      <x:c r="H29" s="7" t="n">
        <x:f>F10*G10</x:f>
        <x:v>-193002.92168602755</x:v>
      </x:c>
      <x:c r="I29" t="str">
        <x:f>IF(H29&gt;=0,"이익","손해")</x:f>
        <x:v>손해</x:v>
      </x:c>
      <x:c r="J29" t="str">
        <x:v>KPI_U04_CHEM_M01</x:v>
      </x:c>
      <x:c r="K29" t="n">
        <x:f>'원가 기준'!$C$6</x:f>
        <x:v>154000</x:v>
      </x:c>
      <x:c r="L29" t="n">
        <x:f>'원가 기준'!$D$6</x:f>
        <x:v>1</x:v>
      </x:c>
      <x:c r="M29" t="str">
        <x:v>원/kg</x:v>
      </x:c>
      <x:c r="N29" t="str">
        <x:v>(목표-실제)×손익반영단가</x:v>
      </x:c>
    </x:row>
    <x:row r="30">
      <x:c r="A30" t="str">
        <x:f>'일별 KPI·변수'!A8</x:f>
        <x:v>2024년 2월 14일 ~ 2월 22일</x:v>
      </x:c>
      <x:c r="B30" t="str">
        <x:f>'일별 KPI·변수'!B8</x:f>
        <x:v>2024-02-20</x:v>
      </x:c>
      <x:c r="C30" t="str">
        <x:v>약품 B</x:v>
      </x:c>
      <x:c r="D30" s="8" t="n">
        <x:f>'일별 KPI·변수'!W8</x:f>
        <x:v>891.7812494940413</x:v>
      </x:c>
      <x:c r="E30" s="8" t="n">
        <x:f>'원가 기준'!$G$7</x:f>
        <x:v>898.13507</x:v>
      </x:c>
      <x:c r="F30" s="8" t="n">
        <x:f>E30-D30</x:f>
        <x:v>6.353820505958765</x:v>
      </x:c>
      <x:c r="G30" s="8" t="n">
        <x:f>K30*L30</x:f>
        <x:v>128000</x:v>
      </x:c>
      <x:c r="H30" s="7" t="n">
        <x:f>F10*G10</x:f>
        <x:v>-193002.92168602755</x:v>
      </x:c>
      <x:c r="I30" t="str">
        <x:f>IF(H30&gt;=0,"이익","손해")</x:f>
        <x:v>손해</x:v>
      </x:c>
      <x:c r="J30" t="str">
        <x:v>KPI_U04_CHEM_M02</x:v>
      </x:c>
      <x:c r="K30" t="n">
        <x:f>'원가 기준'!$C$7</x:f>
        <x:v>128000</x:v>
      </x:c>
      <x:c r="L30" t="n">
        <x:f>'원가 기준'!$D$7</x:f>
        <x:v>1</x:v>
      </x:c>
      <x:c r="M30" t="str">
        <x:v>원/kg</x:v>
      </x:c>
      <x:c r="N30" t="str">
        <x:v>(목표-실제)×손익반영단가</x:v>
      </x:c>
    </x:row>
    <x:row r="31">
      <x:c r="A31" t="str">
        <x:f>'일별 KPI·변수'!A8</x:f>
        <x:v>2024년 2월 14일 ~ 2월 22일</x:v>
      </x:c>
      <x:c r="B31" t="str">
        <x:f>'일별 KPI·변수'!B8</x:f>
        <x:v>2024-02-20</x:v>
      </x:c>
      <x:c r="C31" t="str">
        <x:v>스팀</x:v>
      </x:c>
      <x:c r="D31" s="8" t="n">
        <x:f>'추가 변수'!B8</x:f>
        <x:v>0.2521593754381439</x:v>
      </x:c>
      <x:c r="E31" s="8" t="n">
        <x:f>IF(YEAR(B10)=2024,IF(MONTH(B10)&lt;=3,'원가 기준'!$G$8,IF(MONTH(B10)&lt;=6,'원가 기준'!$G$9,IF(MONTH(B10)&lt;=9,'원가 기준'!$G$10,'원가 기준'!$G$13))),IF(MONTH(B10)&lt;=3,'원가 기준'!$G$14,IF(MONTH(B10)&lt;=6,'원가 기준'!$G$15,'원가 기준'!$G$16)))</x:f>
        <x:v>36.4426</x:v>
      </x:c>
      <x:c r="F31" s="8" t="n">
        <x:f>E31-D31</x:f>
        <x:v>36.19044062456185</x:v>
      </x:c>
      <x:c r="G31" s="8" t="n">
        <x:f>K31*L31</x:f>
        <x:v>128000</x:v>
      </x:c>
      <x:c r="H31" s="7" t="n">
        <x:f>F10*G10</x:f>
        <x:v>-193002.92168602755</x:v>
      </x:c>
      <x:c r="I31" t="str">
        <x:f>IF(H31&gt;=0,"이익","손해")</x:f>
        <x:v>손해</x:v>
      </x:c>
      <x:c r="J31" t="str">
        <x:v>KPI_U04_STEAM_M01</x:v>
      </x:c>
      <x:c r="K31" t="n">
        <x:f>G10/L10</x:f>
        <x:v>128000</x:v>
      </x:c>
      <x:c r="L31" t="n">
        <x:f>IF(YEAR(B10)=2024,1,1)</x:f>
        <x:v>1</x:v>
      </x:c>
      <x:c r="M31" t="str">
        <x:v>원/ton</x:v>
      </x:c>
      <x:c r="N31" t="str">
        <x:v>(목표-실제)×손익반영단가</x:v>
      </x:c>
    </x:row>
    <x:row r="32">
      <x:c r="A32" t="str">
        <x:f>'일별 KPI·변수'!A9</x:f>
        <x:v>2024년 2월 14일 ~ 2월 22일</x:v>
      </x:c>
      <x:c r="B32" t="str">
        <x:f>'일별 KPI·변수'!B9</x:f>
        <x:v>2024-02-21</x:v>
      </x:c>
      <x:c r="C32" t="str">
        <x:v>가스량</x:v>
      </x:c>
      <x:c r="D32" s="8" t="n">
        <x:f>'일별 KPI·변수'!O9</x:f>
        <x:v>1031526.977763318</x:v>
      </x:c>
      <x:c r="E32" s="8" t="n">
        <x:f>IF(YEAR(B11)=2024,'원가 기준'!$G$4,'원가 기준'!$G$5)</x:f>
        <x:v>1042423.4621</x:v>
      </x:c>
      <x:c r="F32" s="8" t="n">
        <x:f>D32-E32</x:f>
        <x:v>-10896.484336682013</x:v>
      </x:c>
      <x:c r="G32" s="8" t="n">
        <x:f>K32*L32</x:f>
        <x:v>90</x:v>
      </x:c>
      <x:c r="H32" s="7" t="n">
        <x:f>F11*G11</x:f>
        <x:v>5575000.70923676</x:v>
      </x:c>
      <x:c r="I32" t="str">
        <x:f>IF(H32&gt;=0,"이익","손해")</x:f>
        <x:v>이익</x:v>
      </x:c>
      <x:c r="J32" t="str">
        <x:v>KPI_U04_QTY_G01</x:v>
      </x:c>
      <x:c r="K32" t="n">
        <x:f>IF(YEAR(B11)=2024,'원가 기준'!$C$4,'원가 기준'!$C$5)</x:f>
        <x:v>300</x:v>
      </x:c>
      <x:c r="L32" t="n">
        <x:f>IF(YEAR(B11)=2024,'원가 기준'!$D$4,'원가 기준'!$D$5)</x:f>
        <x:v>0.3</x:v>
      </x:c>
      <x:c r="M32" t="str">
        <x:v>원/Nm3</x:v>
      </x:c>
      <x:c r="N32" t="str">
        <x:v>(실제-목표)×손익반영단가</x:v>
      </x:c>
    </x:row>
    <x:row r="33">
      <x:c r="A33" t="str">
        <x:f>'일별 KPI·변수'!A9</x:f>
        <x:v>2024년 2월 14일 ~ 2월 22일</x:v>
      </x:c>
      <x:c r="B33" t="str">
        <x:f>'일별 KPI·변수'!B9</x:f>
        <x:v>2024-02-21</x:v>
      </x:c>
      <x:c r="C33" t="str">
        <x:v>약품 A</x:v>
      </x:c>
      <x:c r="D33" s="8" t="n">
        <x:f>'일별 KPI·변수'!V9</x:f>
        <x:v>483.2266088733816</x:v>
      </x:c>
      <x:c r="E33" s="8" t="n">
        <x:f>'원가 기준'!$G$6</x:f>
        <x:v>497.46725</x:v>
      </x:c>
      <x:c r="F33" s="8" t="n">
        <x:f>E33-D33</x:f>
        <x:v>14.240641126618357</x:v>
      </x:c>
      <x:c r="G33" s="8" t="n">
        <x:f>K33*L33</x:f>
        <x:v>154000</x:v>
      </x:c>
      <x:c r="H33" s="7" t="n">
        <x:f>F11*G11</x:f>
        <x:v>5575000.70923676</x:v>
      </x:c>
      <x:c r="I33" t="str">
        <x:f>IF(H33&gt;=0,"이익","손해")</x:f>
        <x:v>이익</x:v>
      </x:c>
      <x:c r="J33" t="str">
        <x:v>KPI_U04_CHEM_M01</x:v>
      </x:c>
      <x:c r="K33" t="n">
        <x:f>'원가 기준'!$C$6</x:f>
        <x:v>154000</x:v>
      </x:c>
      <x:c r="L33" t="n">
        <x:f>'원가 기준'!$D$6</x:f>
        <x:v>1</x:v>
      </x:c>
      <x:c r="M33" t="str">
        <x:v>원/kg</x:v>
      </x:c>
      <x:c r="N33" t="str">
        <x:v>(목표-실제)×손익반영단가</x:v>
      </x:c>
    </x:row>
    <x:row r="34">
      <x:c r="A34" t="str">
        <x:f>'일별 KPI·변수'!A9</x:f>
        <x:v>2024년 2월 14일 ~ 2월 22일</x:v>
      </x:c>
      <x:c r="B34" t="str">
        <x:f>'일별 KPI·변수'!B9</x:f>
        <x:v>2024-02-21</x:v>
      </x:c>
      <x:c r="C34" t="str">
        <x:v>약품 B</x:v>
      </x:c>
      <x:c r="D34" s="8" t="n">
        <x:f>'일별 KPI·변수'!W9</x:f>
        <x:v>886.7511331150307</x:v>
      </x:c>
      <x:c r="E34" s="8" t="n">
        <x:f>'원가 기준'!$G$7</x:f>
        <x:v>898.13507</x:v>
      </x:c>
      <x:c r="F34" s="8" t="n">
        <x:f>E34-D34</x:f>
        <x:v>11.38393688496933</x:v>
      </x:c>
      <x:c r="G34" s="8" t="n">
        <x:f>K34*L34</x:f>
        <x:v>128000</x:v>
      </x:c>
      <x:c r="H34" s="7" t="n">
        <x:f>F11*G11</x:f>
        <x:v>5575000.70923676</x:v>
      </x:c>
      <x:c r="I34" t="str">
        <x:f>IF(H34&gt;=0,"이익","손해")</x:f>
        <x:v>이익</x:v>
      </x:c>
      <x:c r="J34" t="str">
        <x:v>KPI_U04_CHEM_M02</x:v>
      </x:c>
      <x:c r="K34" t="n">
        <x:f>'원가 기준'!$C$7</x:f>
        <x:v>128000</x:v>
      </x:c>
      <x:c r="L34" t="n">
        <x:f>'원가 기준'!$D$7</x:f>
        <x:v>1</x:v>
      </x:c>
      <x:c r="M34" t="str">
        <x:v>원/kg</x:v>
      </x:c>
      <x:c r="N34" t="str">
        <x:v>(목표-실제)×손익반영단가</x:v>
      </x:c>
    </x:row>
    <x:row r="35">
      <x:c r="A35" t="str">
        <x:f>'일별 KPI·변수'!A9</x:f>
        <x:v>2024년 2월 14일 ~ 2월 22일</x:v>
      </x:c>
      <x:c r="B35" t="str">
        <x:f>'일별 KPI·변수'!B9</x:f>
        <x:v>2024-02-21</x:v>
      </x:c>
      <x:c r="C35" t="str">
        <x:v>스팀</x:v>
      </x:c>
      <x:c r="D35" s="8" t="n">
        <x:f>'추가 변수'!B9</x:f>
        <x:v>0.2544821703788221</x:v>
      </x:c>
      <x:c r="E35" s="8" t="n">
        <x:f>IF(YEAR(B11)=2024,IF(MONTH(B11)&lt;=3,'원가 기준'!$G$8,IF(MONTH(B11)&lt;=6,'원가 기준'!$G$9,IF(MONTH(B11)&lt;=9,'원가 기준'!$G$10,'원가 기준'!$G$13))),IF(MONTH(B11)&lt;=3,'원가 기준'!$G$14,IF(MONTH(B11)&lt;=6,'원가 기준'!$G$15,'원가 기준'!$G$16)))</x:f>
        <x:v>36.4426</x:v>
      </x:c>
      <x:c r="F35" s="8" t="n">
        <x:f>E35-D35</x:f>
        <x:v>36.18811782962118</x:v>
      </x:c>
      <x:c r="G35" s="8" t="n">
        <x:f>K35*L35</x:f>
        <x:v>154000</x:v>
      </x:c>
      <x:c r="H35" s="7" t="n">
        <x:f>F11*G11</x:f>
        <x:v>5575000.70923676</x:v>
      </x:c>
      <x:c r="I35" t="str">
        <x:f>IF(H35&gt;=0,"이익","손해")</x:f>
        <x:v>이익</x:v>
      </x:c>
      <x:c r="J35" t="str">
        <x:v>KPI_U04_STEAM_M01</x:v>
      </x:c>
      <x:c r="K35" t="n">
        <x:f>G11/L11</x:f>
        <x:v>154000</x:v>
      </x:c>
      <x:c r="L35" t="n">
        <x:f>IF(YEAR(B11)=2024,1,1)</x:f>
        <x:v>1</x:v>
      </x:c>
      <x:c r="M35" t="str">
        <x:v>원/ton</x:v>
      </x:c>
      <x:c r="N35" t="str">
        <x:v>(목표-실제)×손익반영단가</x:v>
      </x:c>
    </x:row>
    <x:row r="36">
      <x:c r="A36" t="str">
        <x:f>'일별 KPI·변수'!A10</x:f>
        <x:v>2024년 2월 14일 ~ 2월 22일</x:v>
      </x:c>
      <x:c r="B36" t="str">
        <x:f>'일별 KPI·변수'!B10</x:f>
        <x:v>2024-02-22</x:v>
      </x:c>
      <x:c r="C36" t="str">
        <x:v>가스량</x:v>
      </x:c>
      <x:c r="D36" s="8" t="n">
        <x:f>'일별 KPI·변수'!O10</x:f>
        <x:v>1036644.548767604</x:v>
      </x:c>
      <x:c r="E36" s="8" t="n">
        <x:f>IF(YEAR(B12)=2024,'원가 기준'!$G$4,'원가 기준'!$G$5)</x:f>
        <x:v>1042423.4621</x:v>
      </x:c>
      <x:c r="F36" s="8" t="n">
        <x:f>D36-E36</x:f>
        <x:v>-5778.913332395954</x:v>
      </x:c>
      <x:c r="G36" s="8" t="n">
        <x:f>K36*L36</x:f>
        <x:v>90</x:v>
      </x:c>
      <x:c r="H36" s="7" t="n">
        <x:f>F12*G12</x:f>
        <x:v>579919.4072928966</x:v>
      </x:c>
      <x:c r="I36" t="str">
        <x:f>IF(H36&gt;=0,"이익","손해")</x:f>
        <x:v>이익</x:v>
      </x:c>
      <x:c r="J36" t="str">
        <x:v>KPI_U04_QTY_G01</x:v>
      </x:c>
      <x:c r="K36" t="n">
        <x:f>IF(YEAR(B12)=2024,'원가 기준'!$C$4,'원가 기준'!$C$5)</x:f>
        <x:v>300</x:v>
      </x:c>
      <x:c r="L36" t="n">
        <x:f>IF(YEAR(B12)=2024,'원가 기준'!$D$4,'원가 기준'!$D$5)</x:f>
        <x:v>0.3</x:v>
      </x:c>
      <x:c r="M36" t="str">
        <x:v>원/Nm3</x:v>
      </x:c>
      <x:c r="N36" t="str">
        <x:v>(실제-목표)×손익반영단가</x:v>
      </x:c>
    </x:row>
    <x:row r="37">
      <x:c r="A37" t="str">
        <x:f>'일별 KPI·변수'!A10</x:f>
        <x:v>2024년 2월 14일 ~ 2월 22일</x:v>
      </x:c>
      <x:c r="B37" t="str">
        <x:f>'일별 KPI·변수'!B10</x:f>
        <x:v>2024-02-22</x:v>
      </x:c>
      <x:c r="C37" t="str">
        <x:v>약품 A</x:v>
      </x:c>
      <x:c r="D37" s="8" t="n">
        <x:f>'일별 KPI·변수'!V10</x:f>
        <x:v>484.7158321880123</x:v>
      </x:c>
      <x:c r="E37" s="8" t="n">
        <x:f>'원가 기준'!$G$6</x:f>
        <x:v>497.46725</x:v>
      </x:c>
      <x:c r="F37" s="8" t="n">
        <x:f>E37-D37</x:f>
        <x:v>12.751417811987665</x:v>
      </x:c>
      <x:c r="G37" s="8" t="n">
        <x:f>K37*L37</x:f>
        <x:v>154000</x:v>
      </x:c>
      <x:c r="H37" s="7" t="n">
        <x:f>F12*G12</x:f>
        <x:v>579919.4072928966</x:v>
      </x:c>
      <x:c r="I37" t="str">
        <x:f>IF(H37&gt;=0,"이익","손해")</x:f>
        <x:v>이익</x:v>
      </x:c>
      <x:c r="J37" t="str">
        <x:v>KPI_U04_CHEM_M01</x:v>
      </x:c>
      <x:c r="K37" t="n">
        <x:f>'원가 기준'!$C$6</x:f>
        <x:v>154000</x:v>
      </x:c>
      <x:c r="L37" t="n">
        <x:f>'원가 기준'!$D$6</x:f>
        <x:v>1</x:v>
      </x:c>
      <x:c r="M37" t="str">
        <x:v>원/kg</x:v>
      </x:c>
      <x:c r="N37" t="str">
        <x:v>(목표-실제)×손익반영단가</x:v>
      </x:c>
    </x:row>
    <x:row r="38">
      <x:c r="A38" t="str">
        <x:f>'일별 KPI·변수'!A10</x:f>
        <x:v>2024년 2월 14일 ~ 2월 22일</x:v>
      </x:c>
      <x:c r="B38" t="str">
        <x:f>'일별 KPI·변수'!B10</x:f>
        <x:v>2024-02-22</x:v>
      </x:c>
      <x:c r="C38" t="str">
        <x:v>약품 B</x:v>
      </x:c>
      <x:c r="D38" s="8" t="n">
        <x:f>'일별 KPI·변수'!W10</x:f>
        <x:v>885.5125788877428</x:v>
      </x:c>
      <x:c r="E38" s="8" t="n">
        <x:f>'원가 기준'!$G$7</x:f>
        <x:v>898.13507</x:v>
      </x:c>
      <x:c r="F38" s="8" t="n">
        <x:f>E38-D38</x:f>
        <x:v>12.622491112257194</x:v>
      </x:c>
      <x:c r="G38" s="8" t="n">
        <x:f>K38*L38</x:f>
        <x:v>128000</x:v>
      </x:c>
      <x:c r="H38" s="7" t="n">
        <x:f>F12*G12</x:f>
        <x:v>579919.4072928966</x:v>
      </x:c>
      <x:c r="I38" t="str">
        <x:f>IF(H38&gt;=0,"이익","손해")</x:f>
        <x:v>이익</x:v>
      </x:c>
      <x:c r="J38" t="str">
        <x:v>KPI_U04_CHEM_M02</x:v>
      </x:c>
      <x:c r="K38" t="n">
        <x:f>'원가 기준'!$C$7</x:f>
        <x:v>128000</x:v>
      </x:c>
      <x:c r="L38" t="n">
        <x:f>'원가 기준'!$D$7</x:f>
        <x:v>1</x:v>
      </x:c>
      <x:c r="M38" t="str">
        <x:v>원/kg</x:v>
      </x:c>
      <x:c r="N38" t="str">
        <x:v>(목표-실제)×손익반영단가</x:v>
      </x:c>
    </x:row>
    <x:row r="39">
      <x:c r="A39" t="str">
        <x:f>'일별 KPI·변수'!A10</x:f>
        <x:v>2024년 2월 14일 ~ 2월 22일</x:v>
      </x:c>
      <x:c r="B39" t="str">
        <x:f>'일별 KPI·변수'!B10</x:f>
        <x:v>2024-02-22</x:v>
      </x:c>
      <x:c r="C39" t="str">
        <x:v>스팀</x:v>
      </x:c>
      <x:c r="D39" s="8" t="n">
        <x:f>'추가 변수'!B10</x:f>
        <x:v>0.2560586339284249</x:v>
      </x:c>
      <x:c r="E39" s="8" t="n">
        <x:f>IF(YEAR(B12)=2024,IF(MONTH(B12)&lt;=3,'원가 기준'!$G$8,IF(MONTH(B12)&lt;=6,'원가 기준'!$G$9,IF(MONTH(B12)&lt;=9,'원가 기준'!$G$10,'원가 기준'!$G$13))),IF(MONTH(B12)&lt;=3,'원가 기준'!$G$14,IF(MONTH(B12)&lt;=6,'원가 기준'!$G$15,'원가 기준'!$G$16)))</x:f>
        <x:v>36.4426</x:v>
      </x:c>
      <x:c r="F39" s="8" t="n">
        <x:f>E39-D39</x:f>
        <x:v>36.18654136607157</x:v>
      </x:c>
      <x:c r="G39" s="8" t="n">
        <x:f>K39*L39</x:f>
        <x:v>300</x:v>
      </x:c>
      <x:c r="H39" s="7" t="n">
        <x:f>F12*G12</x:f>
        <x:v>579919.4072928966</x:v>
      </x:c>
      <x:c r="I39" t="str">
        <x:f>IF(H39&gt;=0,"이익","손해")</x:f>
        <x:v>이익</x:v>
      </x:c>
      <x:c r="J39" t="str">
        <x:v>KPI_U04_STEAM_M01</x:v>
      </x:c>
      <x:c r="K39" t="n">
        <x:f>G12/L12</x:f>
        <x:v>300</x:v>
      </x:c>
      <x:c r="L39" t="n">
        <x:f>IF(YEAR(B12)=2024,1,1)</x:f>
        <x:v>1</x:v>
      </x:c>
      <x:c r="M39" t="str">
        <x:v>원/ton</x:v>
      </x:c>
      <x:c r="N39" t="str">
        <x:v>(목표-실제)×손익반영단가</x:v>
      </x:c>
    </x:row>
    <x:row r="40">
      <x:c r="A40" t="str">
        <x:f>'일별 KPI·변수'!A11</x:f>
        <x:v>2024년 07월 06일</x:v>
      </x:c>
      <x:c r="B40" t="str">
        <x:f>'일별 KPI·변수'!B11</x:f>
        <x:v>2024-07-06</x:v>
      </x:c>
      <x:c r="C40" t="str">
        <x:v>가스량</x:v>
      </x:c>
      <x:c r="D40" s="8" t="n">
        <x:f>'일별 KPI·변수'!O11</x:f>
        <x:v>1072479.172219319</x:v>
      </x:c>
      <x:c r="E40" s="8" t="n">
        <x:f>IF(YEAR(B13)=2024,'원가 기준'!$G$4,'원가 기준'!$G$5)</x:f>
        <x:v>1042423.4621</x:v>
      </x:c>
      <x:c r="F40" s="8" t="n">
        <x:f>D40-E40</x:f>
        <x:v>30055.710119319032</x:v>
      </x:c>
      <x:c r="G40" s="8" t="n">
        <x:f>K40*L40</x:f>
        <x:v>90</x:v>
      </x:c>
      <x:c r="H40" s="7" t="n">
        <x:f>F13*G13</x:f>
        <x:v>246268.9952021225</x:v>
      </x:c>
      <x:c r="I40" t="str">
        <x:f>IF(H40&gt;=0,"이익","손해")</x:f>
        <x:v>이익</x:v>
      </x:c>
      <x:c r="J40" t="str">
        <x:v>KPI_U04_QTY_G01</x:v>
      </x:c>
      <x:c r="K40" t="n">
        <x:f>IF(YEAR(B13)=2024,'원가 기준'!$C$4,'원가 기준'!$C$5)</x:f>
        <x:v>300</x:v>
      </x:c>
      <x:c r="L40" t="n">
        <x:f>IF(YEAR(B13)=2024,'원가 기준'!$D$4,'원가 기준'!$D$5)</x:f>
        <x:v>0.3</x:v>
      </x:c>
      <x:c r="M40" t="str">
        <x:v>원/Nm3</x:v>
      </x:c>
      <x:c r="N40" t="str">
        <x:v>(실제-목표)×손익반영단가</x:v>
      </x:c>
    </x:row>
    <x:row r="41">
      <x:c r="A41" t="str">
        <x:f>'일별 KPI·변수'!A11</x:f>
        <x:v>2024년 07월 06일</x:v>
      </x:c>
      <x:c r="B41" t="str">
        <x:f>'일별 KPI·변수'!B11</x:f>
        <x:v>2024-07-06</x:v>
      </x:c>
      <x:c r="C41" t="str">
        <x:v>약품 A</x:v>
      </x:c>
      <x:c r="D41" s="8" t="n">
        <x:f>'일별 KPI·변수'!V11</x:f>
        <x:v>495.8000539230118</x:v>
      </x:c>
      <x:c r="E41" s="8" t="n">
        <x:f>'원가 기준'!$G$6</x:f>
        <x:v>497.46725</x:v>
      </x:c>
      <x:c r="F41" s="8" t="n">
        <x:f>E41-D41</x:f>
        <x:v>1.6671960769882048</x:v>
      </x:c>
      <x:c r="G41" s="8" t="n">
        <x:f>K41*L41</x:f>
        <x:v>154000</x:v>
      </x:c>
      <x:c r="H41" s="7" t="n">
        <x:f>F13*G13</x:f>
        <x:v>246268.9952021225</x:v>
      </x:c>
      <x:c r="I41" t="str">
        <x:f>IF(H41&gt;=0,"이익","손해")</x:f>
        <x:v>이익</x:v>
      </x:c>
      <x:c r="J41" t="str">
        <x:v>KPI_U04_CHEM_M01</x:v>
      </x:c>
      <x:c r="K41" t="n">
        <x:f>'원가 기준'!$C$6</x:f>
        <x:v>154000</x:v>
      </x:c>
      <x:c r="L41" t="n">
        <x:f>'원가 기준'!$D$6</x:f>
        <x:v>1</x:v>
      </x:c>
      <x:c r="M41" t="str">
        <x:v>원/kg</x:v>
      </x:c>
      <x:c r="N41" t="str">
        <x:v>(목표-실제)×손익반영단가</x:v>
      </x:c>
    </x:row>
    <x:row r="42">
      <x:c r="A42" t="str">
        <x:f>'일별 KPI·변수'!A11</x:f>
        <x:v>2024년 07월 06일</x:v>
      </x:c>
      <x:c r="B42" t="str">
        <x:f>'일별 KPI·변수'!B11</x:f>
        <x:v>2024-07-06</x:v>
      </x:c>
      <x:c r="C42" t="str">
        <x:v>약품 B</x:v>
      </x:c>
      <x:c r="D42" s="8" t="n">
        <x:f>'일별 KPI·변수'!W11</x:f>
        <x:v>899.1437657998752</x:v>
      </x:c>
      <x:c r="E42" s="8" t="n">
        <x:f>'원가 기준'!$G$7</x:f>
        <x:v>898.13507</x:v>
      </x:c>
      <x:c r="F42" s="8" t="n">
        <x:f>E42-D42</x:f>
        <x:v>-1.0086957998751132</x:v>
      </x:c>
      <x:c r="G42" s="8" t="n">
        <x:f>K42*L42</x:f>
        <x:v>128000</x:v>
      </x:c>
      <x:c r="H42" s="7" t="n">
        <x:f>F13*G13</x:f>
        <x:v>246268.9952021225</x:v>
      </x:c>
      <x:c r="I42" t="str">
        <x:f>IF(H42&gt;=0,"이익","손해")</x:f>
        <x:v>이익</x:v>
      </x:c>
      <x:c r="J42" t="str">
        <x:v>KPI_U04_CHEM_M02</x:v>
      </x:c>
      <x:c r="K42" t="n">
        <x:f>'원가 기준'!$C$7</x:f>
        <x:v>128000</x:v>
      </x:c>
      <x:c r="L42" t="n">
        <x:f>'원가 기준'!$D$7</x:f>
        <x:v>1</x:v>
      </x:c>
      <x:c r="M42" t="str">
        <x:v>원/kg</x:v>
      </x:c>
      <x:c r="N42" t="str">
        <x:v>(목표-실제)×손익반영단가</x:v>
      </x:c>
    </x:row>
    <x:row r="43">
      <x:c r="A43" t="str">
        <x:f>'일별 KPI·변수'!A11</x:f>
        <x:v>2024년 07월 06일</x:v>
      </x:c>
      <x:c r="B43" t="str">
        <x:f>'일별 KPI·변수'!B11</x:f>
        <x:v>2024-07-06</x:v>
      </x:c>
      <x:c r="C43" t="str">
        <x:v>스팀</x:v>
      </x:c>
      <x:c r="D43" s="8" t="n">
        <x:f>'추가 변수'!B11</x:f>
        <x:v>0.2558733711128447</x:v>
      </x:c>
      <x:c r="E43" s="8" t="n">
        <x:f>IF(YEAR(B13)=2024,IF(MONTH(B13)&lt;=3,'원가 기준'!$G$8,IF(MONTH(B13)&lt;=6,'원가 기준'!$G$9,IF(MONTH(B13)&lt;=9,'원가 기준'!$G$10,'원가 기준'!$G$13))),IF(MONTH(B13)&lt;=3,'원가 기준'!$G$14,IF(MONTH(B13)&lt;=6,'원가 기준'!$G$15,'원가 기준'!$G$16)))</x:f>
        <x:v>36.4426</x:v>
      </x:c>
      <x:c r="F43" s="8" t="n">
        <x:f>E43-D43</x:f>
        <x:v>36.18672662888716</x:v>
      </x:c>
      <x:c r="G43" s="8" t="n">
        <x:f>K43*L43</x:f>
        <x:v>154000</x:v>
      </x:c>
      <x:c r="H43" s="7" t="n">
        <x:f>F13*G13</x:f>
        <x:v>246268.9952021225</x:v>
      </x:c>
      <x:c r="I43" t="str">
        <x:f>IF(H43&gt;=0,"이익","손해")</x:f>
        <x:v>이익</x:v>
      </x:c>
      <x:c r="J43" t="str">
        <x:v>KPI_U04_STEAM_M01</x:v>
      </x:c>
      <x:c r="K43" t="n">
        <x:f>G13/L13</x:f>
        <x:v>154000</x:v>
      </x:c>
      <x:c r="L43" t="n">
        <x:f>IF(YEAR(B13)=2024,1,1)</x:f>
        <x:v>1</x:v>
      </x:c>
      <x:c r="M43" t="str">
        <x:v>원/ton</x:v>
      </x:c>
      <x:c r="N43" t="str">
        <x:v>(목표-실제)×손익반영단가</x:v>
      </x:c>
    </x:row>
    <x:row r="44">
      <x:c r="A44" t="str">
        <x:f>'일별 KPI·변수'!A12</x:f>
        <x:v>2024년 11월 18일 ~ 11월 27일</x:v>
      </x:c>
      <x:c r="B44" t="str">
        <x:f>'일별 KPI·변수'!B12</x:f>
        <x:v>2024-11-18</x:v>
      </x:c>
      <x:c r="C44" t="str">
        <x:v>가스량</x:v>
      </x:c>
      <x:c r="D44" s="8" t="n">
        <x:f>'일별 KPI·변수'!O12</x:f>
        <x:v>1046160.779106427</x:v>
      </x:c>
      <x:c r="E44" s="8" t="n">
        <x:f>IF(YEAR(B14)=2024,'원가 기준'!$G$4,'원가 기준'!$G$5)</x:f>
        <x:v>1042423.4621</x:v>
      </x:c>
      <x:c r="F44" s="8" t="n">
        <x:f>D44-E44</x:f>
        <x:v>3737.31700642698</x:v>
      </x:c>
      <x:c r="G44" s="8" t="n">
        <x:f>K44*L44</x:f>
        <x:v>90</x:v>
      </x:c>
      <x:c r="H44" s="7" t="n">
        <x:f>F14*G14</x:f>
        <x:v>950800.5380839022</x:v>
      </x:c>
      <x:c r="I44" t="str">
        <x:f>IF(H44&gt;=0,"이익","손해")</x:f>
        <x:v>이익</x:v>
      </x:c>
      <x:c r="J44" t="str">
        <x:v>KPI_U04_QTY_G01</x:v>
      </x:c>
      <x:c r="K44" t="n">
        <x:f>IF(YEAR(B14)=2024,'원가 기준'!$C$4,'원가 기준'!$C$5)</x:f>
        <x:v>300</x:v>
      </x:c>
      <x:c r="L44" t="n">
        <x:f>IF(YEAR(B14)=2024,'원가 기준'!$D$4,'원가 기준'!$D$5)</x:f>
        <x:v>0.3</x:v>
      </x:c>
      <x:c r="M44" t="str">
        <x:v>원/Nm3</x:v>
      </x:c>
      <x:c r="N44" t="str">
        <x:v>(실제-목표)×손익반영단가</x:v>
      </x:c>
    </x:row>
    <x:row r="45">
      <x:c r="A45" t="str">
        <x:f>'일별 KPI·변수'!A12</x:f>
        <x:v>2024년 11월 18일 ~ 11월 27일</x:v>
      </x:c>
      <x:c r="B45" t="str">
        <x:f>'일별 KPI·변수'!B12</x:f>
        <x:v>2024-11-18</x:v>
      </x:c>
      <x:c r="C45" t="str">
        <x:v>약품 A</x:v>
      </x:c>
      <x:c r="D45" s="8" t="n">
        <x:f>'일별 KPI·변수'!V12</x:f>
        <x:v>491.815104855716</x:v>
      </x:c>
      <x:c r="E45" s="8" t="n">
        <x:f>'원가 기준'!$G$6</x:f>
        <x:v>497.46725</x:v>
      </x:c>
      <x:c r="F45" s="8" t="n">
        <x:f>E45-D45</x:f>
        <x:v>5.652145144283963</x:v>
      </x:c>
      <x:c r="G45" s="8" t="n">
        <x:f>K45*L45</x:f>
        <x:v>154000</x:v>
      </x:c>
      <x:c r="H45" s="7" t="n">
        <x:f>F14*G14</x:f>
        <x:v>950800.5380839022</x:v>
      </x:c>
      <x:c r="I45" t="str">
        <x:f>IF(H45&gt;=0,"이익","손해")</x:f>
        <x:v>이익</x:v>
      </x:c>
      <x:c r="J45" t="str">
        <x:v>KPI_U04_CHEM_M01</x:v>
      </x:c>
      <x:c r="K45" t="n">
        <x:f>'원가 기준'!$C$6</x:f>
        <x:v>154000</x:v>
      </x:c>
      <x:c r="L45" t="n">
        <x:f>'원가 기준'!$D$6</x:f>
        <x:v>1</x:v>
      </x:c>
      <x:c r="M45" t="str">
        <x:v>원/kg</x:v>
      </x:c>
      <x:c r="N45" t="str">
        <x:v>(목표-실제)×손익반영단가</x:v>
      </x:c>
    </x:row>
    <x:row r="46">
      <x:c r="A46" t="str">
        <x:f>'일별 KPI·변수'!A12</x:f>
        <x:v>2024년 11월 18일 ~ 11월 27일</x:v>
      </x:c>
      <x:c r="B46" t="str">
        <x:f>'일별 KPI·변수'!B12</x:f>
        <x:v>2024-11-18</x:v>
      </x:c>
      <x:c r="C46" t="str">
        <x:v>약품 B</x:v>
      </x:c>
      <x:c r="D46" s="8" t="n">
        <x:f>'일별 KPI·변수'!W12</x:f>
        <x:v>882.2482033994521</x:v>
      </x:c>
      <x:c r="E46" s="8" t="n">
        <x:f>'원가 기준'!$G$7</x:f>
        <x:v>898.13507</x:v>
      </x:c>
      <x:c r="F46" s="8" t="n">
        <x:f>E46-D46</x:f>
        <x:v>15.886866600547933</x:v>
      </x:c>
      <x:c r="G46" s="8" t="n">
        <x:f>K46*L46</x:f>
        <x:v>128000</x:v>
      </x:c>
      <x:c r="H46" s="7" t="n">
        <x:f>F14*G14</x:f>
        <x:v>950800.5380839022</x:v>
      </x:c>
      <x:c r="I46" t="str">
        <x:f>IF(H46&gt;=0,"이익","손해")</x:f>
        <x:v>이익</x:v>
      </x:c>
      <x:c r="J46" t="str">
        <x:v>KPI_U04_CHEM_M02</x:v>
      </x:c>
      <x:c r="K46" t="n">
        <x:f>'원가 기준'!$C$7</x:f>
        <x:v>128000</x:v>
      </x:c>
      <x:c r="L46" t="n">
        <x:f>'원가 기준'!$D$7</x:f>
        <x:v>1</x:v>
      </x:c>
      <x:c r="M46" t="str">
        <x:v>원/kg</x:v>
      </x:c>
      <x:c r="N46" t="str">
        <x:v>(목표-실제)×손익반영단가</x:v>
      </x:c>
    </x:row>
    <x:row r="47">
      <x:c r="A47" t="str">
        <x:f>'일별 KPI·변수'!A12</x:f>
        <x:v>2024년 11월 18일 ~ 11월 27일</x:v>
      </x:c>
      <x:c r="B47" t="str">
        <x:f>'일별 KPI·변수'!B12</x:f>
        <x:v>2024-11-18</x:v>
      </x:c>
      <x:c r="C47" t="str">
        <x:v>스팀</x:v>
      </x:c>
      <x:c r="D47" s="8" t="n">
        <x:f>'추가 변수'!B12</x:f>
        <x:v>0.2442868870232246</x:v>
      </x:c>
      <x:c r="E47" s="8" t="n">
        <x:f>IF(YEAR(B14)=2024,IF(MONTH(B14)&lt;=3,'원가 기준'!$G$8,IF(MONTH(B14)&lt;=6,'원가 기준'!$G$9,IF(MONTH(B14)&lt;=9,'원가 기준'!$G$10,'원가 기준'!$G$13))),IF(MONTH(B14)&lt;=3,'원가 기준'!$G$14,IF(MONTH(B14)&lt;=6,'원가 기준'!$G$15,'원가 기준'!$G$16)))</x:f>
        <x:v>36.4426</x:v>
      </x:c>
      <x:c r="F47" s="8" t="n">
        <x:f>E47-D47</x:f>
        <x:v>36.19831311297678</x:v>
      </x:c>
      <x:c r="G47" s="8" t="n">
        <x:f>K47*L47</x:f>
        <x:v>128000</x:v>
      </x:c>
      <x:c r="H47" s="7" t="n">
        <x:f>F14*G14</x:f>
        <x:v>950800.5380839022</x:v>
      </x:c>
      <x:c r="I47" t="str">
        <x:f>IF(H47&gt;=0,"이익","손해")</x:f>
        <x:v>이익</x:v>
      </x:c>
      <x:c r="J47" t="str">
        <x:v>KPI_U04_STEAM_M01</x:v>
      </x:c>
      <x:c r="K47" t="n">
        <x:f>G14/L14</x:f>
        <x:v>128000</x:v>
      </x:c>
      <x:c r="L47" t="n">
        <x:f>IF(YEAR(B14)=2024,1,1)</x:f>
        <x:v>1</x:v>
      </x:c>
      <x:c r="M47" t="str">
        <x:v>원/ton</x:v>
      </x:c>
      <x:c r="N47" t="str">
        <x:v>(목표-실제)×손익반영단가</x:v>
      </x:c>
    </x:row>
    <x:row r="48">
      <x:c r="A48" t="str">
        <x:f>'일별 KPI·변수'!A13</x:f>
        <x:v>2024년 11월 18일 ~ 11월 27일</x:v>
      </x:c>
      <x:c r="B48" t="str">
        <x:f>'일별 KPI·변수'!B13</x:f>
        <x:v>2024-11-19</x:v>
      </x:c>
      <x:c r="C48" t="str">
        <x:v>가스량</x:v>
      </x:c>
      <x:c r="D48" s="8" t="n">
        <x:f>'일별 KPI·변수'!O13</x:f>
        <x:v>1036977.535986333</x:v>
      </x:c>
      <x:c r="E48" s="8" t="n">
        <x:f>IF(YEAR(B15)=2024,'원가 기준'!$G$4,'원가 기준'!$G$5)</x:f>
        <x:v>1042423.4621</x:v>
      </x:c>
      <x:c r="F48" s="8" t="n">
        <x:f>D48-E48</x:f>
        <x:v>-5445.926113666967</x:v>
      </x:c>
      <x:c r="G48" s="8" t="n">
        <x:f>K48*L48</x:f>
        <x:v>90</x:v>
      </x:c>
      <x:c r="H48" s="7" t="n">
        <x:f>F15*G15</x:f>
        <x:v>4632247.08319686</x:v>
      </x:c>
      <x:c r="I48" t="str">
        <x:f>IF(H48&gt;=0,"이익","손해")</x:f>
        <x:v>이익</x:v>
      </x:c>
      <x:c r="J48" t="str">
        <x:v>KPI_U04_QTY_G01</x:v>
      </x:c>
      <x:c r="K48" t="n">
        <x:f>IF(YEAR(B15)=2024,'원가 기준'!$C$4,'원가 기준'!$C$5)</x:f>
        <x:v>300</x:v>
      </x:c>
      <x:c r="L48" t="n">
        <x:f>IF(YEAR(B15)=2024,'원가 기준'!$D$4,'원가 기준'!$D$5)</x:f>
        <x:v>0.3</x:v>
      </x:c>
      <x:c r="M48" t="str">
        <x:v>원/Nm3</x:v>
      </x:c>
      <x:c r="N48" t="str">
        <x:v>(실제-목표)×손익반영단가</x:v>
      </x:c>
    </x:row>
    <x:row r="49">
      <x:c r="A49" t="str">
        <x:f>'일별 KPI·변수'!A13</x:f>
        <x:v>2024년 11월 18일 ~ 11월 27일</x:v>
      </x:c>
      <x:c r="B49" t="str">
        <x:f>'일별 KPI·변수'!B13</x:f>
        <x:v>2024-11-19</x:v>
      </x:c>
      <x:c r="C49" t="str">
        <x:v>약품 A</x:v>
      </x:c>
      <x:c r="D49" s="8" t="n">
        <x:f>'일별 KPI·변수'!V13</x:f>
        <x:v>487.0169215321615</x:v>
      </x:c>
      <x:c r="E49" s="8" t="n">
        <x:f>'원가 기준'!$G$6</x:f>
        <x:v>497.46725</x:v>
      </x:c>
      <x:c r="F49" s="8" t="n">
        <x:f>E49-D49</x:f>
        <x:v>10.45032846783846</x:v>
      </x:c>
      <x:c r="G49" s="8" t="n">
        <x:f>K49*L49</x:f>
        <x:v>154000</x:v>
      </x:c>
      <x:c r="H49" s="7" t="n">
        <x:f>F15*G15</x:f>
        <x:v>4632247.08319686</x:v>
      </x:c>
      <x:c r="I49" t="str">
        <x:f>IF(H49&gt;=0,"이익","손해")</x:f>
        <x:v>이익</x:v>
      </x:c>
      <x:c r="J49" t="str">
        <x:v>KPI_U04_CHEM_M01</x:v>
      </x:c>
      <x:c r="K49" t="n">
        <x:f>'원가 기준'!$C$6</x:f>
        <x:v>154000</x:v>
      </x:c>
      <x:c r="L49" t="n">
        <x:f>'원가 기준'!$D$6</x:f>
        <x:v>1</x:v>
      </x:c>
      <x:c r="M49" t="str">
        <x:v>원/kg</x:v>
      </x:c>
      <x:c r="N49" t="str">
        <x:v>(목표-실제)×손익반영단가</x:v>
      </x:c>
    </x:row>
    <x:row r="50">
      <x:c r="A50" t="str">
        <x:f>'일별 KPI·변수'!A13</x:f>
        <x:v>2024년 11월 18일 ~ 11월 27일</x:v>
      </x:c>
      <x:c r="B50" t="str">
        <x:f>'일별 KPI·변수'!B13</x:f>
        <x:v>2024-11-19</x:v>
      </x:c>
      <x:c r="C50" t="str">
        <x:v>약품 B</x:v>
      </x:c>
      <x:c r="D50" s="8" t="n">
        <x:f>'일별 KPI·변수'!W13</x:f>
        <x:v>886.8880778487269</x:v>
      </x:c>
      <x:c r="E50" s="8" t="n">
        <x:f>'원가 기준'!$G$7</x:f>
        <x:v>898.13507</x:v>
      </x:c>
      <x:c r="F50" s="8" t="n">
        <x:f>E50-D50</x:f>
        <x:v>11.246992151273162</x:v>
      </x:c>
      <x:c r="G50" s="8" t="n">
        <x:f>K50*L50</x:f>
        <x:v>128000</x:v>
      </x:c>
      <x:c r="H50" s="7" t="n">
        <x:f>F15*G15</x:f>
        <x:v>4632247.08319686</x:v>
      </x:c>
      <x:c r="I50" t="str">
        <x:f>IF(H50&gt;=0,"이익","손해")</x:f>
        <x:v>이익</x:v>
      </x:c>
      <x:c r="J50" t="str">
        <x:v>KPI_U04_CHEM_M02</x:v>
      </x:c>
      <x:c r="K50" t="n">
        <x:f>'원가 기준'!$C$7</x:f>
        <x:v>128000</x:v>
      </x:c>
      <x:c r="L50" t="n">
        <x:f>'원가 기준'!$D$7</x:f>
        <x:v>1</x:v>
      </x:c>
      <x:c r="M50" t="str">
        <x:v>원/kg</x:v>
      </x:c>
      <x:c r="N50" t="str">
        <x:v>(목표-실제)×손익반영단가</x:v>
      </x:c>
    </x:row>
    <x:row r="51">
      <x:c r="A51" t="str">
        <x:f>'일별 KPI·변수'!A13</x:f>
        <x:v>2024년 11월 18일 ~ 11월 27일</x:v>
      </x:c>
      <x:c r="B51" t="str">
        <x:f>'일별 KPI·변수'!B13</x:f>
        <x:v>2024-11-19</x:v>
      </x:c>
      <x:c r="C51" t="str">
        <x:v>스팀</x:v>
      </x:c>
      <x:c r="D51" s="8" t="n">
        <x:f>'추가 변수'!B13</x:f>
        <x:v>0.2477713080678882</x:v>
      </x:c>
      <x:c r="E51" s="8" t="n">
        <x:f>IF(YEAR(B15)=2024,IF(MONTH(B15)&lt;=3,'원가 기준'!$G$8,IF(MONTH(B15)&lt;=6,'원가 기준'!$G$9,IF(MONTH(B15)&lt;=9,'원가 기준'!$G$10,'원가 기준'!$G$13))),IF(MONTH(B15)&lt;=3,'원가 기준'!$G$14,IF(MONTH(B15)&lt;=6,'원가 기준'!$G$15,'원가 기준'!$G$16)))</x:f>
        <x:v>36.4426</x:v>
      </x:c>
      <x:c r="F51" s="8" t="n">
        <x:f>E51-D51</x:f>
        <x:v>36.19482869193211</x:v>
      </x:c>
      <x:c r="G51" s="8" t="n">
        <x:f>K51*L51</x:f>
        <x:v>128000</x:v>
      </x:c>
      <x:c r="H51" s="7" t="n">
        <x:f>F15*G15</x:f>
        <x:v>4632247.08319686</x:v>
      </x:c>
      <x:c r="I51" t="str">
        <x:f>IF(H51&gt;=0,"이익","손해")</x:f>
        <x:v>이익</x:v>
      </x:c>
      <x:c r="J51" t="str">
        <x:v>KPI_U04_STEAM_M01</x:v>
      </x:c>
      <x:c r="K51" t="n">
        <x:f>G15/L15</x:f>
        <x:v>128000</x:v>
      </x:c>
      <x:c r="L51" t="n">
        <x:f>IF(YEAR(B15)=2024,1,1)</x:f>
        <x:v>1</x:v>
      </x:c>
      <x:c r="M51" t="str">
        <x:v>원/ton</x:v>
      </x:c>
      <x:c r="N51" t="str">
        <x:v>(목표-실제)×손익반영단가</x:v>
      </x:c>
    </x:row>
    <x:row r="52">
      <x:c r="A52" t="str">
        <x:f>'일별 KPI·변수'!A14</x:f>
        <x:v>2024년 11월 18일 ~ 11월 27일</x:v>
      </x:c>
      <x:c r="B52" t="str">
        <x:f>'일별 KPI·변수'!B14</x:f>
        <x:v>2024-11-20</x:v>
      </x:c>
      <x:c r="C52" t="str">
        <x:v>가스량</x:v>
      </x:c>
      <x:c r="D52" s="8" t="n">
        <x:f>'일별 KPI·변수'!O14</x:f>
        <x:v>1038939.612049606</x:v>
      </x:c>
      <x:c r="E52" s="8" t="n">
        <x:f>IF(YEAR(B16)=2024,'원가 기준'!$G$4,'원가 기준'!$G$5)</x:f>
        <x:v>1042423.4621</x:v>
      </x:c>
      <x:c r="F52" s="8" t="n">
        <x:f>D52-E52</x:f>
        <x:v>-3483.8500503939576</x:v>
      </x:c>
      <x:c r="G52" s="8" t="n">
        <x:f>K52*L52</x:f>
        <x:v>90</x:v>
      </x:c>
      <x:c r="H52" s="7" t="n">
        <x:f>F16*G16</x:f>
        <x:v>1050367.3090364726</x:v>
      </x:c>
      <x:c r="I52" t="str">
        <x:f>IF(H52&gt;=0,"이익","손해")</x:f>
        <x:v>이익</x:v>
      </x:c>
      <x:c r="J52" t="str">
        <x:v>KPI_U04_QTY_G01</x:v>
      </x:c>
      <x:c r="K52" t="n">
        <x:f>IF(YEAR(B16)=2024,'원가 기준'!$C$4,'원가 기준'!$C$5)</x:f>
        <x:v>300</x:v>
      </x:c>
      <x:c r="L52" t="n">
        <x:f>IF(YEAR(B16)=2024,'원가 기준'!$D$4,'원가 기준'!$D$5)</x:f>
        <x:v>0.3</x:v>
      </x:c>
      <x:c r="M52" t="str">
        <x:v>원/Nm3</x:v>
      </x:c>
      <x:c r="N52" t="str">
        <x:v>(실제-목표)×손익반영단가</x:v>
      </x:c>
    </x:row>
    <x:row r="53">
      <x:c r="A53" t="str">
        <x:f>'일별 KPI·변수'!A14</x:f>
        <x:v>2024년 11월 18일 ~ 11월 27일</x:v>
      </x:c>
      <x:c r="B53" t="str">
        <x:f>'일별 KPI·변수'!B14</x:f>
        <x:v>2024-11-20</x:v>
      </x:c>
      <x:c r="C53" t="str">
        <x:v>약품 A</x:v>
      </x:c>
      <x:c r="D53" s="8" t="n">
        <x:f>'일별 KPI·변수'!V14</x:f>
        <x:v>488.3987573213307</x:v>
      </x:c>
      <x:c r="E53" s="8" t="n">
        <x:f>'원가 기준'!$G$6</x:f>
        <x:v>497.46725</x:v>
      </x:c>
      <x:c r="F53" s="8" t="n">
        <x:f>E53-D53</x:f>
        <x:v>9.068492678669259</x:v>
      </x:c>
      <x:c r="G53" s="8" t="n">
        <x:f>K53*L53</x:f>
        <x:v>154000</x:v>
      </x:c>
      <x:c r="H53" s="7" t="n">
        <x:f>F16*G16</x:f>
        <x:v>1050367.3090364726</x:v>
      </x:c>
      <x:c r="I53" t="str">
        <x:f>IF(H53&gt;=0,"이익","손해")</x:f>
        <x:v>이익</x:v>
      </x:c>
      <x:c r="J53" t="str">
        <x:v>KPI_U04_CHEM_M01</x:v>
      </x:c>
      <x:c r="K53" t="n">
        <x:f>'원가 기준'!$C$6</x:f>
        <x:v>154000</x:v>
      </x:c>
      <x:c r="L53" t="n">
        <x:f>'원가 기준'!$D$6</x:f>
        <x:v>1</x:v>
      </x:c>
      <x:c r="M53" t="str">
        <x:v>원/kg</x:v>
      </x:c>
      <x:c r="N53" t="str">
        <x:v>(목표-실제)×손익반영단가</x:v>
      </x:c>
    </x:row>
    <x:row r="54">
      <x:c r="A54" t="str">
        <x:f>'일별 KPI·변수'!A14</x:f>
        <x:v>2024년 11월 18일 ~ 11월 27일</x:v>
      </x:c>
      <x:c r="B54" t="str">
        <x:f>'일별 KPI·변수'!B14</x:f>
        <x:v>2024-11-20</x:v>
      </x:c>
      <x:c r="C54" t="str">
        <x:v>약품 B</x:v>
      </x:c>
      <x:c r="D54" s="8" t="n">
        <x:f>'일별 KPI·변수'!W14</x:f>
        <x:v>882.910147845501</x:v>
      </x:c>
      <x:c r="E54" s="8" t="n">
        <x:f>'원가 기준'!$G$7</x:f>
        <x:v>898.13507</x:v>
      </x:c>
      <x:c r="F54" s="8" t="n">
        <x:f>E54-D54</x:f>
        <x:v>15.22492215449904</x:v>
      </x:c>
      <x:c r="G54" s="8" t="n">
        <x:f>K54*L54</x:f>
        <x:v>128000</x:v>
      </x:c>
      <x:c r="H54" s="7" t="n">
        <x:f>F16*G16</x:f>
        <x:v>1050367.3090364726</x:v>
      </x:c>
      <x:c r="I54" t="str">
        <x:f>IF(H54&gt;=0,"이익","손해")</x:f>
        <x:v>이익</x:v>
      </x:c>
      <x:c r="J54" t="str">
        <x:v>KPI_U04_CHEM_M02</x:v>
      </x:c>
      <x:c r="K54" t="n">
        <x:f>'원가 기준'!$C$7</x:f>
        <x:v>128000</x:v>
      </x:c>
      <x:c r="L54" t="n">
        <x:f>'원가 기준'!$D$7</x:f>
        <x:v>1</x:v>
      </x:c>
      <x:c r="M54" t="str">
        <x:v>원/kg</x:v>
      </x:c>
      <x:c r="N54" t="str">
        <x:v>(목표-실제)×손익반영단가</x:v>
      </x:c>
    </x:row>
    <x:row r="55">
      <x:c r="A55" t="str">
        <x:f>'일별 KPI·변수'!A14</x:f>
        <x:v>2024년 11월 18일 ~ 11월 27일</x:v>
      </x:c>
      <x:c r="B55" t="str">
        <x:f>'일별 KPI·변수'!B14</x:f>
        <x:v>2024-11-20</x:v>
      </x:c>
      <x:c r="C55" t="str">
        <x:v>스팀</x:v>
      </x:c>
      <x:c r="D55" s="8" t="n">
        <x:f>'추가 변수'!B14</x:f>
        <x:v>0.2560110962771688</x:v>
      </x:c>
      <x:c r="E55" s="8" t="n">
        <x:f>IF(YEAR(B16)=2024,IF(MONTH(B16)&lt;=3,'원가 기준'!$G$8,IF(MONTH(B16)&lt;=6,'원가 기준'!$G$9,IF(MONTH(B16)&lt;=9,'원가 기준'!$G$10,'원가 기준'!$G$13))),IF(MONTH(B16)&lt;=3,'원가 기준'!$G$14,IF(MONTH(B16)&lt;=6,'원가 기준'!$G$15,'원가 기준'!$G$16)))</x:f>
        <x:v>36.4426</x:v>
      </x:c>
      <x:c r="F55" s="8" t="n">
        <x:f>E55-D55</x:f>
        <x:v>36.18658890372283</x:v>
      </x:c>
      <x:c r="G55" s="8" t="n">
        <x:f>K55*L55</x:f>
        <x:v>300</x:v>
      </x:c>
      <x:c r="H55" s="7" t="n">
        <x:f>F16*G16</x:f>
        <x:v>1050367.3090364726</x:v>
      </x:c>
      <x:c r="I55" t="str">
        <x:f>IF(H55&gt;=0,"이익","손해")</x:f>
        <x:v>이익</x:v>
      </x:c>
      <x:c r="J55" t="str">
        <x:v>KPI_U04_STEAM_M01</x:v>
      </x:c>
      <x:c r="K55" t="n">
        <x:f>G16/L16</x:f>
        <x:v>300</x:v>
      </x:c>
      <x:c r="L55" t="n">
        <x:f>IF(YEAR(B16)=2024,1,1)</x:f>
        <x:v>1</x:v>
      </x:c>
      <x:c r="M55" t="str">
        <x:v>원/ton</x:v>
      </x:c>
      <x:c r="N55" t="str">
        <x:v>(목표-실제)×손익반영단가</x:v>
      </x:c>
    </x:row>
    <x:row r="56">
      <x:c r="A56" t="str">
        <x:f>'일별 KPI·변수'!A15</x:f>
        <x:v>2024년 11월 18일 ~ 11월 27일</x:v>
      </x:c>
      <x:c r="B56" t="str">
        <x:f>'일별 KPI·변수'!B15</x:f>
        <x:v>2024-11-21</x:v>
      </x:c>
      <x:c r="C56" t="str">
        <x:v>가스량</x:v>
      </x:c>
      <x:c r="D56" s="8" t="n">
        <x:f>'일별 KPI·변수'!O15</x:f>
        <x:v>1051919.893890029</x:v>
      </x:c>
      <x:c r="E56" s="8" t="n">
        <x:f>IF(YEAR(B17)=2024,'원가 기준'!$G$4,'원가 기준'!$G$5)</x:f>
        <x:v>1042423.4621</x:v>
      </x:c>
      <x:c r="F56" s="8" t="n">
        <x:f>D56-E56</x:f>
        <x:v>9496.431790029048</x:v>
      </x:c>
      <x:c r="G56" s="8" t="n">
        <x:f>K56*L56</x:f>
        <x:v>90</x:v>
      </x:c>
      <x:c r="H56" s="7" t="n">
        <x:f>F17*G17</x:f>
        <x:v>926482.0958554484</x:v>
      </x:c>
      <x:c r="I56" t="str">
        <x:f>IF(H56&gt;=0,"이익","손해")</x:f>
        <x:v>이익</x:v>
      </x:c>
      <x:c r="J56" t="str">
        <x:v>KPI_U04_QTY_G01</x:v>
      </x:c>
      <x:c r="K56" t="n">
        <x:f>IF(YEAR(B17)=2024,'원가 기준'!$C$4,'원가 기준'!$C$5)</x:f>
        <x:v>300</x:v>
      </x:c>
      <x:c r="L56" t="n">
        <x:f>IF(YEAR(B17)=2024,'원가 기준'!$D$4,'원가 기준'!$D$5)</x:f>
        <x:v>0.3</x:v>
      </x:c>
      <x:c r="M56" t="str">
        <x:v>원/Nm3</x:v>
      </x:c>
      <x:c r="N56" t="str">
        <x:v>(실제-목표)×손익반영단가</x:v>
      </x:c>
    </x:row>
    <x:row r="57">
      <x:c r="A57" t="str">
        <x:f>'일별 KPI·변수'!A15</x:f>
        <x:v>2024년 11월 18일 ~ 11월 27일</x:v>
      </x:c>
      <x:c r="B57" t="str">
        <x:f>'일별 KPI·변수'!B15</x:f>
        <x:v>2024-11-21</x:v>
      </x:c>
      <x:c r="C57" t="str">
        <x:v>약품 A</x:v>
      </x:c>
      <x:c r="D57" s="8" t="n">
        <x:f>'일별 KPI·변수'!V15</x:f>
        <x:v>489.5283107323841</x:v>
      </x:c>
      <x:c r="E57" s="8" t="n">
        <x:f>'원가 기준'!$G$6</x:f>
        <x:v>497.46725</x:v>
      </x:c>
      <x:c r="F57" s="8" t="n">
        <x:f>E57-D57</x:f>
        <x:v>7.938939267615865</x:v>
      </x:c>
      <x:c r="G57" s="8" t="n">
        <x:f>K57*L57</x:f>
        <x:v>154000</x:v>
      </x:c>
      <x:c r="H57" s="7" t="n">
        <x:f>F17*G17</x:f>
        <x:v>926482.0958554484</x:v>
      </x:c>
      <x:c r="I57" t="str">
        <x:f>IF(H57&gt;=0,"이익","손해")</x:f>
        <x:v>이익</x:v>
      </x:c>
      <x:c r="J57" t="str">
        <x:v>KPI_U04_CHEM_M01</x:v>
      </x:c>
      <x:c r="K57" t="n">
        <x:f>'원가 기준'!$C$6</x:f>
        <x:v>154000</x:v>
      </x:c>
      <x:c r="L57" t="n">
        <x:f>'원가 기준'!$D$6</x:f>
        <x:v>1</x:v>
      </x:c>
      <x:c r="M57" t="str">
        <x:v>원/kg</x:v>
      </x:c>
      <x:c r="N57" t="str">
        <x:v>(목표-실제)×손익반영단가</x:v>
      </x:c>
    </x:row>
    <x:row r="58">
      <x:c r="A58" t="str">
        <x:f>'일별 KPI·변수'!A15</x:f>
        <x:v>2024년 11월 18일 ~ 11월 27일</x:v>
      </x:c>
      <x:c r="B58" t="str">
        <x:f>'일별 KPI·변수'!B15</x:f>
        <x:v>2024-11-21</x:v>
      </x:c>
      <x:c r="C58" t="str">
        <x:v>약품 B</x:v>
      </x:c>
      <x:c r="D58" s="8" t="n">
        <x:f>'일별 KPI·변수'!W15</x:f>
        <x:v>887.2902210755354</x:v>
      </x:c>
      <x:c r="E58" s="8" t="n">
        <x:f>'원가 기준'!$G$7</x:f>
        <x:v>898.13507</x:v>
      </x:c>
      <x:c r="F58" s="8" t="n">
        <x:f>E58-D58</x:f>
        <x:v>10.8448489244646</x:v>
      </x:c>
      <x:c r="G58" s="8" t="n">
        <x:f>K58*L58</x:f>
        <x:v>128000</x:v>
      </x:c>
      <x:c r="H58" s="7" t="n">
        <x:f>F17*G17</x:f>
        <x:v>926482.0958554484</x:v>
      </x:c>
      <x:c r="I58" t="str">
        <x:f>IF(H58&gt;=0,"이익","손해")</x:f>
        <x:v>이익</x:v>
      </x:c>
      <x:c r="J58" t="str">
        <x:v>KPI_U04_CHEM_M02</x:v>
      </x:c>
      <x:c r="K58" t="n">
        <x:f>'원가 기준'!$C$7</x:f>
        <x:v>128000</x:v>
      </x:c>
      <x:c r="L58" t="n">
        <x:f>'원가 기준'!$D$7</x:f>
        <x:v>1</x:v>
      </x:c>
      <x:c r="M58" t="str">
        <x:v>원/kg</x:v>
      </x:c>
      <x:c r="N58" t="str">
        <x:v>(목표-실제)×손익반영단가</x:v>
      </x:c>
    </x:row>
    <x:row r="59">
      <x:c r="A59" t="str">
        <x:f>'일별 KPI·변수'!A15</x:f>
        <x:v>2024년 11월 18일 ~ 11월 27일</x:v>
      </x:c>
      <x:c r="B59" t="str">
        <x:f>'일별 KPI·변수'!B15</x:f>
        <x:v>2024-11-21</x:v>
      </x:c>
      <x:c r="C59" t="str">
        <x:v>스팀</x:v>
      </x:c>
      <x:c r="D59" s="8" t="n">
        <x:f>'추가 변수'!B15</x:f>
        <x:v>0.2481733612605486</x:v>
      </x:c>
      <x:c r="E59" s="8" t="n">
        <x:f>IF(YEAR(B17)=2024,IF(MONTH(B17)&lt;=3,'원가 기준'!$G$8,IF(MONTH(B17)&lt;=6,'원가 기준'!$G$9,IF(MONTH(B17)&lt;=9,'원가 기준'!$G$10,'원가 기준'!$G$13))),IF(MONTH(B17)&lt;=3,'원가 기준'!$G$14,IF(MONTH(B17)&lt;=6,'원가 기준'!$G$15,'원가 기준'!$G$16)))</x:f>
        <x:v>36.4426</x:v>
      </x:c>
      <x:c r="F59" s="8" t="n">
        <x:f>E59-D59</x:f>
        <x:v>36.19442663873945</x:v>
      </x:c>
      <x:c r="G59" s="8" t="n">
        <x:f>K59*L59</x:f>
        <x:v>154000</x:v>
      </x:c>
      <x:c r="H59" s="7" t="n">
        <x:f>F17*G17</x:f>
        <x:v>926482.0958554484</x:v>
      </x:c>
      <x:c r="I59" t="str">
        <x:f>IF(H59&gt;=0,"이익","손해")</x:f>
        <x:v>이익</x:v>
      </x:c>
      <x:c r="J59" t="str">
        <x:v>KPI_U04_STEAM_M01</x:v>
      </x:c>
      <x:c r="K59" t="n">
        <x:f>G17/L17</x:f>
        <x:v>154000</x:v>
      </x:c>
      <x:c r="L59" t="n">
        <x:f>IF(YEAR(B17)=2024,1,1)</x:f>
        <x:v>1</x:v>
      </x:c>
      <x:c r="M59" t="str">
        <x:v>원/ton</x:v>
      </x:c>
      <x:c r="N59" t="str">
        <x:v>(목표-실제)×손익반영단가</x:v>
      </x:c>
    </x:row>
    <x:row r="60">
      <x:c r="A60" t="str">
        <x:f>'일별 KPI·변수'!A16</x:f>
        <x:v>2024년 11월 18일 ~ 11월 27일</x:v>
      </x:c>
      <x:c r="B60" t="str">
        <x:f>'일별 KPI·변수'!B16</x:f>
        <x:v>2024-11-22</x:v>
      </x:c>
      <x:c r="C60" t="str">
        <x:v>가스량</x:v>
      </x:c>
      <x:c r="D60" s="8" t="n">
        <x:f>'일별 KPI·변수'!O16</x:f>
        <x:v>1042017.100445729</x:v>
      </x:c>
      <x:c r="E60" s="8" t="n">
        <x:f>IF(YEAR(B18)=2024,'원가 기준'!$G$4,'원가 기준'!$G$5)</x:f>
        <x:v>1042423.4621</x:v>
      </x:c>
      <x:c r="F60" s="8" t="n">
        <x:f>D60-E60</x:f>
        <x:v>-406.3616542710224</x:v>
      </x:c>
      <x:c r="G60" s="8" t="n">
        <x:f>K60*L60</x:f>
        <x:v>90</x:v>
      </x:c>
      <x:c r="H60" s="7" t="n">
        <x:f>F18*G18</x:f>
        <x:v>578334.4567240565</x:v>
      </x:c>
      <x:c r="I60" t="str">
        <x:f>IF(H60&gt;=0,"이익","손해")</x:f>
        <x:v>이익</x:v>
      </x:c>
      <x:c r="J60" t="str">
        <x:v>KPI_U04_QTY_G01</x:v>
      </x:c>
      <x:c r="K60" t="n">
        <x:f>IF(YEAR(B18)=2024,'원가 기준'!$C$4,'원가 기준'!$C$5)</x:f>
        <x:v>300</x:v>
      </x:c>
      <x:c r="L60" t="n">
        <x:f>IF(YEAR(B18)=2024,'원가 기준'!$D$4,'원가 기준'!$D$5)</x:f>
        <x:v>0.3</x:v>
      </x:c>
      <x:c r="M60" t="str">
        <x:v>원/Nm3</x:v>
      </x:c>
      <x:c r="N60" t="str">
        <x:v>(실제-목표)×손익반영단가</x:v>
      </x:c>
    </x:row>
    <x:row r="61">
      <x:c r="A61" t="str">
        <x:f>'일별 KPI·변수'!A16</x:f>
        <x:v>2024년 11월 18일 ~ 11월 27일</x:v>
      </x:c>
      <x:c r="B61" t="str">
        <x:f>'일별 KPI·변수'!B16</x:f>
        <x:v>2024-11-22</x:v>
      </x:c>
      <x:c r="C61" t="str">
        <x:v>약품 A</x:v>
      </x:c>
      <x:c r="D61" s="8" t="n">
        <x:f>'일별 KPI·변수'!V16</x:f>
        <x:v>490.749205809998</x:v>
      </x:c>
      <x:c r="E61" s="8" t="n">
        <x:f>'원가 기준'!$G$6</x:f>
        <x:v>497.46725</x:v>
      </x:c>
      <x:c r="F61" s="8" t="n">
        <x:f>E61-D61</x:f>
        <x:v>6.71804419000199</x:v>
      </x:c>
      <x:c r="G61" s="8" t="n">
        <x:f>K61*L61</x:f>
        <x:v>154000</x:v>
      </x:c>
      <x:c r="H61" s="7" t="n">
        <x:f>F18*G18</x:f>
        <x:v>578334.4567240565</x:v>
      </x:c>
      <x:c r="I61" t="str">
        <x:f>IF(H61&gt;=0,"이익","손해")</x:f>
        <x:v>이익</x:v>
      </x:c>
      <x:c r="J61" t="str">
        <x:v>KPI_U04_CHEM_M01</x:v>
      </x:c>
      <x:c r="K61" t="n">
        <x:f>'원가 기준'!$C$6</x:f>
        <x:v>154000</x:v>
      </x:c>
      <x:c r="L61" t="n">
        <x:f>'원가 기준'!$D$6</x:f>
        <x:v>1</x:v>
      </x:c>
      <x:c r="M61" t="str">
        <x:v>원/kg</x:v>
      </x:c>
      <x:c r="N61" t="str">
        <x:v>(목표-실제)×손익반영단가</x:v>
      </x:c>
    </x:row>
    <x:row r="62">
      <x:c r="A62" t="str">
        <x:f>'일별 KPI·변수'!A16</x:f>
        <x:v>2024년 11월 18일 ~ 11월 27일</x:v>
      </x:c>
      <x:c r="B62" t="str">
        <x:f>'일별 KPI·변수'!B16</x:f>
        <x:v>2024-11-22</x:v>
      </x:c>
      <x:c r="C62" t="str">
        <x:v>약품 B</x:v>
      </x:c>
      <x:c r="D62" s="8" t="n">
        <x:f>'일별 KPI·변수'!W16</x:f>
        <x:v>884.4171728654782</x:v>
      </x:c>
      <x:c r="E62" s="8" t="n">
        <x:f>'원가 기준'!$G$7</x:f>
        <x:v>898.13507</x:v>
      </x:c>
      <x:c r="F62" s="8" t="n">
        <x:f>E62-D62</x:f>
        <x:v>13.717897134521877</x:v>
      </x:c>
      <x:c r="G62" s="8" t="n">
        <x:f>K62*L62</x:f>
        <x:v>128000</x:v>
      </x:c>
      <x:c r="H62" s="7" t="n">
        <x:f>F18*G18</x:f>
        <x:v>578334.4567240565</x:v>
      </x:c>
      <x:c r="I62" t="str">
        <x:f>IF(H62&gt;=0,"이익","손해")</x:f>
        <x:v>이익</x:v>
      </x:c>
      <x:c r="J62" t="str">
        <x:v>KPI_U04_CHEM_M02</x:v>
      </x:c>
      <x:c r="K62" t="n">
        <x:f>'원가 기준'!$C$7</x:f>
        <x:v>128000</x:v>
      </x:c>
      <x:c r="L62" t="n">
        <x:f>'원가 기준'!$D$7</x:f>
        <x:v>1</x:v>
      </x:c>
      <x:c r="M62" t="str">
        <x:v>원/kg</x:v>
      </x:c>
      <x:c r="N62" t="str">
        <x:v>(목표-실제)×손익반영단가</x:v>
      </x:c>
    </x:row>
    <x:row r="63">
      <x:c r="A63" t="str">
        <x:f>'일별 KPI·변수'!A16</x:f>
        <x:v>2024년 11월 18일 ~ 11월 27일</x:v>
      </x:c>
      <x:c r="B63" t="str">
        <x:f>'일별 KPI·변수'!B16</x:f>
        <x:v>2024-11-22</x:v>
      </x:c>
      <x:c r="C63" t="str">
        <x:v>스팀</x:v>
      </x:c>
      <x:c r="D63" s="8" t="n">
        <x:f>'추가 변수'!B16</x:f>
        <x:v>0.2446724155795308</x:v>
      </x:c>
      <x:c r="E63" s="8" t="n">
        <x:f>IF(YEAR(B18)=2024,IF(MONTH(B18)&lt;=3,'원가 기준'!$G$8,IF(MONTH(B18)&lt;=6,'원가 기준'!$G$9,IF(MONTH(B18)&lt;=9,'원가 기준'!$G$10,'원가 기준'!$G$13))),IF(MONTH(B18)&lt;=3,'원가 기준'!$G$14,IF(MONTH(B18)&lt;=6,'원가 기준'!$G$15,'원가 기준'!$G$16)))</x:f>
        <x:v>36.4426</x:v>
      </x:c>
      <x:c r="F63" s="8" t="n">
        <x:f>E63-D63</x:f>
        <x:v>36.19792758442047</x:v>
      </x:c>
      <x:c r="G63" s="8" t="n">
        <x:f>K63*L63</x:f>
        <x:v>128000</x:v>
      </x:c>
      <x:c r="H63" s="7" t="n">
        <x:f>F18*G18</x:f>
        <x:v>578334.4567240565</x:v>
      </x:c>
      <x:c r="I63" t="str">
        <x:f>IF(H63&gt;=0,"이익","손해")</x:f>
        <x:v>이익</x:v>
      </x:c>
      <x:c r="J63" t="str">
        <x:v>KPI_U04_STEAM_M01</x:v>
      </x:c>
      <x:c r="K63" t="n">
        <x:f>G18/L18</x:f>
        <x:v>128000</x:v>
      </x:c>
      <x:c r="L63" t="n">
        <x:f>IF(YEAR(B18)=2024,1,1)</x:f>
        <x:v>1</x:v>
      </x:c>
      <x:c r="M63" t="str">
        <x:v>원/ton</x:v>
      </x:c>
      <x:c r="N63" t="str">
        <x:v>(목표-실제)×손익반영단가</x:v>
      </x:c>
    </x:row>
    <x:row r="64">
      <x:c r="A64" t="str">
        <x:f>'일별 KPI·변수'!A17</x:f>
        <x:v>2024년 11월 18일 ~ 11월 27일</x:v>
      </x:c>
      <x:c r="B64" t="str">
        <x:f>'일별 KPI·변수'!B17</x:f>
        <x:v>2024-11-23</x:v>
      </x:c>
      <x:c r="C64" t="str">
        <x:v>가스량</x:v>
      </x:c>
      <x:c r="D64" s="8" t="n">
        <x:f>'일별 KPI·변수'!O17</x:f>
        <x:v>1062371.715289251</x:v>
      </x:c>
      <x:c r="E64" s="8" t="n">
        <x:f>IF(YEAR(B19)=2024,'원가 기준'!$G$4,'원가 기준'!$G$5)</x:f>
        <x:v>1042423.4621</x:v>
      </x:c>
      <x:c r="F64" s="8" t="n">
        <x:f>D64-E64</x:f>
        <x:v>19948.253189250943</x:v>
      </x:c>
      <x:c r="G64" s="8" t="n">
        <x:f>K64*L64</x:f>
        <x:v>90</x:v>
      </x:c>
      <x:c r="H64" s="7" t="n">
        <x:f>F19*G19</x:f>
        <x:v>10856.993501533143</x:v>
      </x:c>
      <x:c r="I64" t="str">
        <x:f>IF(H64&gt;=0,"이익","손해")</x:f>
        <x:v>이익</x:v>
      </x:c>
      <x:c r="J64" t="str">
        <x:v>KPI_U04_QTY_G01</x:v>
      </x:c>
      <x:c r="K64" t="n">
        <x:f>IF(YEAR(B19)=2024,'원가 기준'!$C$4,'원가 기준'!$C$5)</x:f>
        <x:v>300</x:v>
      </x:c>
      <x:c r="L64" t="n">
        <x:f>IF(YEAR(B19)=2024,'원가 기준'!$D$4,'원가 기준'!$D$5)</x:f>
        <x:v>0.3</x:v>
      </x:c>
      <x:c r="M64" t="str">
        <x:v>원/Nm3</x:v>
      </x:c>
      <x:c r="N64" t="str">
        <x:v>(실제-목표)×손익반영단가</x:v>
      </x:c>
    </x:row>
    <x:row r="65">
      <x:c r="A65" t="str">
        <x:f>'일별 KPI·변수'!A17</x:f>
        <x:v>2024년 11월 18일 ~ 11월 27일</x:v>
      </x:c>
      <x:c r="B65" t="str">
        <x:f>'일별 KPI·변수'!B17</x:f>
        <x:v>2024-11-23</x:v>
      </x:c>
      <x:c r="C65" t="str">
        <x:v>약품 A</x:v>
      </x:c>
      <x:c r="D65" s="8" t="n">
        <x:f>'일별 KPI·변수'!V17</x:f>
        <x:v>496.2443453848144</x:v>
      </x:c>
      <x:c r="E65" s="8" t="n">
        <x:f>'원가 기준'!$G$6</x:f>
        <x:v>497.46725</x:v>
      </x:c>
      <x:c r="F65" s="8" t="n">
        <x:f>E65-D65</x:f>
        <x:v>1.2229046151855982</x:v>
      </x:c>
      <x:c r="G65" s="8" t="n">
        <x:f>K65*L65</x:f>
        <x:v>154000</x:v>
      </x:c>
      <x:c r="H65" s="7" t="n">
        <x:f>F19*G19</x:f>
        <x:v>10856.993501533143</x:v>
      </x:c>
      <x:c r="I65" t="str">
        <x:f>IF(H65&gt;=0,"이익","손해")</x:f>
        <x:v>이익</x:v>
      </x:c>
      <x:c r="J65" t="str">
        <x:v>KPI_U04_CHEM_M01</x:v>
      </x:c>
      <x:c r="K65" t="n">
        <x:f>'원가 기준'!$C$6</x:f>
        <x:v>154000</x:v>
      </x:c>
      <x:c r="L65" t="n">
        <x:f>'원가 기준'!$D$6</x:f>
        <x:v>1</x:v>
      </x:c>
      <x:c r="M65" t="str">
        <x:v>원/kg</x:v>
      </x:c>
      <x:c r="N65" t="str">
        <x:v>(목표-실제)×손익반영단가</x:v>
      </x:c>
    </x:row>
    <x:row r="66">
      <x:c r="A66" t="str">
        <x:f>'일별 KPI·변수'!A17</x:f>
        <x:v>2024년 11월 18일 ~ 11월 27일</x:v>
      </x:c>
      <x:c r="B66" t="str">
        <x:f>'일별 KPI·변수'!B17</x:f>
        <x:v>2024-11-23</x:v>
      </x:c>
      <x:c r="C66" t="str">
        <x:v>약품 B</x:v>
      </x:c>
      <x:c r="D66" s="8" t="n">
        <x:f>'일별 KPI·변수'!W17</x:f>
        <x:v>895.7527642659949</x:v>
      </x:c>
      <x:c r="E66" s="8" t="n">
        <x:f>'원가 기준'!$G$7</x:f>
        <x:v>898.13507</x:v>
      </x:c>
      <x:c r="F66" s="8" t="n">
        <x:f>E66-D66</x:f>
        <x:v>2.382305734005172</x:v>
      </x:c>
      <x:c r="G66" s="8" t="n">
        <x:f>K66*L66</x:f>
        <x:v>128000</x:v>
      </x:c>
      <x:c r="H66" s="7" t="n">
        <x:f>F19*G19</x:f>
        <x:v>10856.993501533143</x:v>
      </x:c>
      <x:c r="I66" t="str">
        <x:f>IF(H66&gt;=0,"이익","손해")</x:f>
        <x:v>이익</x:v>
      </x:c>
      <x:c r="J66" t="str">
        <x:v>KPI_U04_CHEM_M02</x:v>
      </x:c>
      <x:c r="K66" t="n">
        <x:f>'원가 기준'!$C$7</x:f>
        <x:v>128000</x:v>
      </x:c>
      <x:c r="L66" t="n">
        <x:f>'원가 기준'!$D$7</x:f>
        <x:v>1</x:v>
      </x:c>
      <x:c r="M66" t="str">
        <x:v>원/kg</x:v>
      </x:c>
      <x:c r="N66" t="str">
        <x:v>(목표-실제)×손익반영단가</x:v>
      </x:c>
    </x:row>
    <x:row r="67">
      <x:c r="A67" t="str">
        <x:f>'일별 KPI·변수'!A17</x:f>
        <x:v>2024년 11월 18일 ~ 11월 27일</x:v>
      </x:c>
      <x:c r="B67" t="str">
        <x:f>'일별 KPI·변수'!B17</x:f>
        <x:v>2024-11-23</x:v>
      </x:c>
      <x:c r="C67" t="str">
        <x:v>스팀</x:v>
      </x:c>
      <x:c r="D67" s="8" t="n">
        <x:f>'추가 변수'!B17</x:f>
        <x:v>0.2397536643361992</x:v>
      </x:c>
      <x:c r="E67" s="8" t="n">
        <x:f>IF(YEAR(B19)=2024,IF(MONTH(B19)&lt;=3,'원가 기준'!$G$8,IF(MONTH(B19)&lt;=6,'원가 기준'!$G$9,IF(MONTH(B19)&lt;=9,'원가 기준'!$G$10,'원가 기준'!$G$13))),IF(MONTH(B19)&lt;=3,'원가 기준'!$G$14,IF(MONTH(B19)&lt;=6,'원가 기준'!$G$15,'원가 기준'!$G$16)))</x:f>
        <x:v>36.4426</x:v>
      </x:c>
      <x:c r="F67" s="8" t="n">
        <x:f>E67-D67</x:f>
        <x:v>36.2028463356638</x:v>
      </x:c>
      <x:c r="G67" s="8" t="n">
        <x:f>K67*L67</x:f>
        <x:v>300</x:v>
      </x:c>
      <x:c r="H67" s="7" t="n">
        <x:f>F19*G19</x:f>
        <x:v>10856.993501533143</x:v>
      </x:c>
      <x:c r="I67" t="str">
        <x:f>IF(H67&gt;=0,"이익","손해")</x:f>
        <x:v>이익</x:v>
      </x:c>
      <x:c r="J67" t="str">
        <x:v>KPI_U04_STEAM_M01</x:v>
      </x:c>
      <x:c r="K67" t="n">
        <x:f>G19/L19</x:f>
        <x:v>300</x:v>
      </x:c>
      <x:c r="L67" t="n">
        <x:f>IF(YEAR(B19)=2024,1,1)</x:f>
        <x:v>1</x:v>
      </x:c>
      <x:c r="M67" t="str">
        <x:v>원/ton</x:v>
      </x:c>
      <x:c r="N67" t="str">
        <x:v>(목표-실제)×손익반영단가</x:v>
      </x:c>
    </x:row>
    <x:row r="68">
      <x:c r="A68" t="str">
        <x:f>'일별 KPI·변수'!A18</x:f>
        <x:v>2024년 11월 18일 ~ 11월 27일</x:v>
      </x:c>
      <x:c r="B68" t="str">
        <x:f>'일별 KPI·변수'!B18</x:f>
        <x:v>2024-11-24</x:v>
      </x:c>
      <x:c r="C68" t="str">
        <x:v>가스량</x:v>
      </x:c>
      <x:c r="D68" s="8" t="n">
        <x:f>'일별 KPI·변수'!O18</x:f>
        <x:v>1066792.308851407</x:v>
      </x:c>
      <x:c r="E68" s="8" t="n">
        <x:f>IF(YEAR(B20)=2024,'원가 기준'!$G$4,'원가 기준'!$G$5)</x:f>
        <x:v>1042423.4621</x:v>
      </x:c>
      <x:c r="F68" s="8" t="n">
        <x:f>D68-E68</x:f>
        <x:v>24368.846751406905</x:v>
      </x:c>
      <x:c r="G68" s="8" t="n">
        <x:f>K68*L68</x:f>
        <x:v>90</x:v>
      </x:c>
      <x:c r="H68" s="7" t="n">
        <x:f>F20*G20</x:f>
        <x:v>2916244.087309622</x:v>
      </x:c>
      <x:c r="I68" t="str">
        <x:f>IF(H68&gt;=0,"이익","손해")</x:f>
        <x:v>이익</x:v>
      </x:c>
      <x:c r="J68" t="str">
        <x:v>KPI_U04_QTY_G01</x:v>
      </x:c>
      <x:c r="K68" t="n">
        <x:f>IF(YEAR(B20)=2024,'원가 기준'!$C$4,'원가 기준'!$C$5)</x:f>
        <x:v>300</x:v>
      </x:c>
      <x:c r="L68" t="n">
        <x:f>IF(YEAR(B20)=2024,'원가 기준'!$D$4,'원가 기준'!$D$5)</x:f>
        <x:v>0.3</x:v>
      </x:c>
      <x:c r="M68" t="str">
        <x:v>원/Nm3</x:v>
      </x:c>
      <x:c r="N68" t="str">
        <x:v>(실제-목표)×손익반영단가</x:v>
      </x:c>
    </x:row>
    <x:row r="69">
      <x:c r="A69" t="str">
        <x:f>'일별 KPI·변수'!A18</x:f>
        <x:v>2024년 11월 18일 ~ 11월 27일</x:v>
      </x:c>
      <x:c r="B69" t="str">
        <x:f>'일별 KPI·변수'!B18</x:f>
        <x:v>2024-11-24</x:v>
      </x:c>
      <x:c r="C69" t="str">
        <x:v>약품 A</x:v>
      </x:c>
      <x:c r="D69" s="8" t="n">
        <x:f>'일별 KPI·변수'!V18</x:f>
        <x:v>499.4100000673731</x:v>
      </x:c>
      <x:c r="E69" s="8" t="n">
        <x:f>'원가 기준'!$G$6</x:f>
        <x:v>497.46725</x:v>
      </x:c>
      <x:c r="F69" s="8" t="n">
        <x:f>E69-D69</x:f>
        <x:v>-1.9427500673731402</x:v>
      </x:c>
      <x:c r="G69" s="8" t="n">
        <x:f>K69*L69</x:f>
        <x:v>154000</x:v>
      </x:c>
      <x:c r="H69" s="7" t="n">
        <x:f>F20*G20</x:f>
        <x:v>2916244.087309622</x:v>
      </x:c>
      <x:c r="I69" t="str">
        <x:f>IF(H69&gt;=0,"이익","손해")</x:f>
        <x:v>이익</x:v>
      </x:c>
      <x:c r="J69" t="str">
        <x:v>KPI_U04_CHEM_M01</x:v>
      </x:c>
      <x:c r="K69" t="n">
        <x:f>'원가 기준'!$C$6</x:f>
        <x:v>154000</x:v>
      </x:c>
      <x:c r="L69" t="n">
        <x:f>'원가 기준'!$D$6</x:f>
        <x:v>1</x:v>
      </x:c>
      <x:c r="M69" t="str">
        <x:v>원/kg</x:v>
      </x:c>
      <x:c r="N69" t="str">
        <x:v>(목표-실제)×손익반영단가</x:v>
      </x:c>
    </x:row>
    <x:row r="70">
      <x:c r="A70" t="str">
        <x:f>'일별 KPI·변수'!A18</x:f>
        <x:v>2024년 11월 18일 ~ 11월 27일</x:v>
      </x:c>
      <x:c r="B70" t="str">
        <x:f>'일별 KPI·변수'!B18</x:f>
        <x:v>2024-11-24</x:v>
      </x:c>
      <x:c r="C70" t="str">
        <x:v>약품 B</x:v>
      </x:c>
      <x:c r="D70" s="8" t="n">
        <x:f>'일별 KPI·변수'!W18</x:f>
        <x:v>890.3172330622461</x:v>
      </x:c>
      <x:c r="E70" s="8" t="n">
        <x:f>'원가 기준'!$G$7</x:f>
        <x:v>898.13507</x:v>
      </x:c>
      <x:c r="F70" s="8" t="n">
        <x:f>E70-D70</x:f>
        <x:v>7.817836937753896</x:v>
      </x:c>
      <x:c r="G70" s="8" t="n">
        <x:f>K70*L70</x:f>
        <x:v>128000</x:v>
      </x:c>
      <x:c r="H70" s="7" t="n">
        <x:f>F20*G20</x:f>
        <x:v>2916244.087309622</x:v>
      </x:c>
      <x:c r="I70" t="str">
        <x:f>IF(H70&gt;=0,"이익","손해")</x:f>
        <x:v>이익</x:v>
      </x:c>
      <x:c r="J70" t="str">
        <x:v>KPI_U04_CHEM_M02</x:v>
      </x:c>
      <x:c r="K70" t="n">
        <x:f>'원가 기준'!$C$7</x:f>
        <x:v>128000</x:v>
      </x:c>
      <x:c r="L70" t="n">
        <x:f>'원가 기준'!$D$7</x:f>
        <x:v>1</x:v>
      </x:c>
      <x:c r="M70" t="str">
        <x:v>원/kg</x:v>
      </x:c>
      <x:c r="N70" t="str">
        <x:v>(목표-실제)×손익반영단가</x:v>
      </x:c>
    </x:row>
    <x:row r="71">
      <x:c r="A71" t="str">
        <x:f>'일별 KPI·변수'!A18</x:f>
        <x:v>2024년 11월 18일 ~ 11월 27일</x:v>
      </x:c>
      <x:c r="B71" t="str">
        <x:f>'일별 KPI·변수'!B18</x:f>
        <x:v>2024-11-24</x:v>
      </x:c>
      <x:c r="C71" t="str">
        <x:v>스팀</x:v>
      </x:c>
      <x:c r="D71" s="8" t="n">
        <x:f>'추가 변수'!B18</x:f>
        <x:v>0.2421139888908207</x:v>
      </x:c>
      <x:c r="E71" s="8" t="n">
        <x:f>IF(YEAR(B20)=2024,IF(MONTH(B20)&lt;=3,'원가 기준'!$G$8,IF(MONTH(B20)&lt;=6,'원가 기준'!$G$9,IF(MONTH(B20)&lt;=9,'원가 기준'!$G$10,'원가 기준'!$G$13))),IF(MONTH(B20)&lt;=3,'원가 기준'!$G$14,IF(MONTH(B20)&lt;=6,'원가 기준'!$G$15,'원가 기준'!$G$16)))</x:f>
        <x:v>36.4426</x:v>
      </x:c>
      <x:c r="F71" s="8" t="n">
        <x:f>E71-D71</x:f>
        <x:v>36.20048601110918</x:v>
      </x:c>
      <x:c r="G71" s="8" t="n">
        <x:f>K71*L71</x:f>
        <x:v>300</x:v>
      </x:c>
      <x:c r="H71" s="7" t="n">
        <x:f>F20*G20</x:f>
        <x:v>2916244.087309622</x:v>
      </x:c>
      <x:c r="I71" t="str">
        <x:f>IF(H71&gt;=0,"이익","손해")</x:f>
        <x:v>이익</x:v>
      </x:c>
      <x:c r="J71" t="str">
        <x:v>KPI_U04_STEAM_M01</x:v>
      </x:c>
      <x:c r="K71" t="n">
        <x:f>G20/L20</x:f>
        <x:v>300</x:v>
      </x:c>
      <x:c r="L71" t="n">
        <x:f>IF(YEAR(B20)=2024,1,1)</x:f>
        <x:v>1</x:v>
      </x:c>
      <x:c r="M71" t="str">
        <x:v>원/ton</x:v>
      </x:c>
      <x:c r="N71" t="str">
        <x:v>(목표-실제)×손익반영단가</x:v>
      </x:c>
    </x:row>
    <x:row r="72">
      <x:c r="A72" t="str">
        <x:f>'일별 KPI·변수'!A19</x:f>
        <x:v>2024년 11월 18일 ~ 11월 27일</x:v>
      </x:c>
      <x:c r="B72" t="str">
        <x:f>'일별 KPI·변수'!B19</x:f>
        <x:v>2024-11-25</x:v>
      </x:c>
      <x:c r="C72" t="str">
        <x:v>가스량</x:v>
      </x:c>
      <x:c r="D72" s="8" t="n">
        <x:f>'일별 KPI·변수'!O19</x:f>
        <x:v>1055256.392934849</x:v>
      </x:c>
      <x:c r="E72" s="8" t="n">
        <x:f>IF(YEAR(B21)=2024,'원가 기준'!$G$4,'원가 기준'!$G$5)</x:f>
        <x:v>1042423.4621</x:v>
      </x:c>
      <x:c r="F72" s="8" t="n">
        <x:f>D72-E72</x:f>
        <x:v>12832.930834849016</x:v>
      </x:c>
      <x:c r="G72" s="8" t="n">
        <x:f>K72*L72</x:f>
        <x:v>90</x:v>
      </x:c>
      <x:c r="H72" s="7" t="n">
        <x:f>F21*G21</x:f>
        <x:v>-418299.49820760655</x:v>
      </x:c>
      <x:c r="I72" t="str">
        <x:f>IF(H72&gt;=0,"이익","손해")</x:f>
        <x:v>손해</x:v>
      </x:c>
      <x:c r="J72" t="str">
        <x:v>KPI_U04_QTY_G01</x:v>
      </x:c>
      <x:c r="K72" t="n">
        <x:f>IF(YEAR(B21)=2024,'원가 기준'!$C$4,'원가 기준'!$C$5)</x:f>
        <x:v>300</x:v>
      </x:c>
      <x:c r="L72" t="n">
        <x:f>IF(YEAR(B21)=2024,'원가 기준'!$D$4,'원가 기준'!$D$5)</x:f>
        <x:v>0.3</x:v>
      </x:c>
      <x:c r="M72" t="str">
        <x:v>원/Nm3</x:v>
      </x:c>
      <x:c r="N72" t="str">
        <x:v>(실제-목표)×손익반영단가</x:v>
      </x:c>
    </x:row>
    <x:row r="73">
      <x:c r="A73" t="str">
        <x:f>'일별 KPI·변수'!A19</x:f>
        <x:v>2024년 11월 18일 ~ 11월 27일</x:v>
      </x:c>
      <x:c r="B73" t="str">
        <x:f>'일별 KPI·변수'!B19</x:f>
        <x:v>2024-11-25</x:v>
      </x:c>
      <x:c r="C73" t="str">
        <x:v>약품 A</x:v>
      </x:c>
      <x:c r="D73" s="8" t="n">
        <x:f>'일별 KPI·변수'!V19</x:f>
        <x:v>495.9435188955483</x:v>
      </x:c>
      <x:c r="E73" s="8" t="n">
        <x:f>'원가 기준'!$G$6</x:f>
        <x:v>497.46725</x:v>
      </x:c>
      <x:c r="F73" s="8" t="n">
        <x:f>E73-D73</x:f>
        <x:v>1.523731104451656</x:v>
      </x:c>
      <x:c r="G73" s="8" t="n">
        <x:f>K73*L73</x:f>
        <x:v>154000</x:v>
      </x:c>
      <x:c r="H73" s="7" t="n">
        <x:f>F21*G21</x:f>
        <x:v>-418299.49820760655</x:v>
      </x:c>
      <x:c r="I73" t="str">
        <x:f>IF(H73&gt;=0,"이익","손해")</x:f>
        <x:v>손해</x:v>
      </x:c>
      <x:c r="J73" t="str">
        <x:v>KPI_U04_CHEM_M01</x:v>
      </x:c>
      <x:c r="K73" t="n">
        <x:f>'원가 기준'!$C$6</x:f>
        <x:v>154000</x:v>
      </x:c>
      <x:c r="L73" t="n">
        <x:f>'원가 기준'!$D$6</x:f>
        <x:v>1</x:v>
      </x:c>
      <x:c r="M73" t="str">
        <x:v>원/kg</x:v>
      </x:c>
      <x:c r="N73" t="str">
        <x:v>(목표-실제)×손익반영단가</x:v>
      </x:c>
    </x:row>
    <x:row r="74">
      <x:c r="A74" t="str">
        <x:f>'일별 KPI·변수'!A19</x:f>
        <x:v>2024년 11월 18일 ~ 11월 27일</x:v>
      </x:c>
      <x:c r="B74" t="str">
        <x:f>'일별 KPI·변수'!B19</x:f>
        <x:v>2024-11-25</x:v>
      </x:c>
      <x:c r="C74" t="str">
        <x:v>약품 B</x:v>
      </x:c>
      <x:c r="D74" s="8" t="n">
        <x:f>'일별 KPI·변수'!W19</x:f>
        <x:v>883.3447757455951</x:v>
      </x:c>
      <x:c r="E74" s="8" t="n">
        <x:f>'원가 기준'!$G$7</x:f>
        <x:v>898.13507</x:v>
      </x:c>
      <x:c r="F74" s="8" t="n">
        <x:f>E74-D74</x:f>
        <x:v>14.790294254404898</x:v>
      </x:c>
      <x:c r="G74" s="8" t="n">
        <x:f>K74*L74</x:f>
        <x:v>128000</x:v>
      </x:c>
      <x:c r="H74" s="7" t="n">
        <x:f>F21*G21</x:f>
        <x:v>-418299.49820760655</x:v>
      </x:c>
      <x:c r="I74" t="str">
        <x:f>IF(H74&gt;=0,"이익","손해")</x:f>
        <x:v>손해</x:v>
      </x:c>
      <x:c r="J74" t="str">
        <x:v>KPI_U04_CHEM_M02</x:v>
      </x:c>
      <x:c r="K74" t="n">
        <x:f>'원가 기준'!$C$7</x:f>
        <x:v>128000</x:v>
      </x:c>
      <x:c r="L74" t="n">
        <x:f>'원가 기준'!$D$7</x:f>
        <x:v>1</x:v>
      </x:c>
      <x:c r="M74" t="str">
        <x:v>원/kg</x:v>
      </x:c>
      <x:c r="N74" t="str">
        <x:v>(목표-실제)×손익반영단가</x:v>
      </x:c>
    </x:row>
    <x:row r="75">
      <x:c r="A75" t="str">
        <x:f>'일별 KPI·변수'!A19</x:f>
        <x:v>2024년 11월 18일 ~ 11월 27일</x:v>
      </x:c>
      <x:c r="B75" t="str">
        <x:f>'일별 KPI·변수'!B19</x:f>
        <x:v>2024-11-25</x:v>
      </x:c>
      <x:c r="C75" t="str">
        <x:v>스팀</x:v>
      </x:c>
      <x:c r="D75" s="8" t="n">
        <x:f>'추가 변수'!B19</x:f>
        <x:v>0.2547565944610309</x:v>
      </x:c>
      <x:c r="E75" s="8" t="n">
        <x:f>IF(YEAR(B21)=2024,IF(MONTH(B21)&lt;=3,'원가 기준'!$G$8,IF(MONTH(B21)&lt;=6,'원가 기준'!$G$9,IF(MONTH(B21)&lt;=9,'원가 기준'!$G$10,'원가 기준'!$G$13))),IF(MONTH(B21)&lt;=3,'원가 기준'!$G$14,IF(MONTH(B21)&lt;=6,'원가 기준'!$G$15,'원가 기준'!$G$16)))</x:f>
        <x:v>36.4426</x:v>
      </x:c>
      <x:c r="F75" s="8" t="n">
        <x:f>E75-D75</x:f>
        <x:v>36.18784340553897</x:v>
      </x:c>
      <x:c r="G75" s="8" t="n">
        <x:f>K75*L75</x:f>
        <x:v>154000</x:v>
      </x:c>
      <x:c r="H75" s="7" t="n">
        <x:f>F21*G21</x:f>
        <x:v>-418299.49820760655</x:v>
      </x:c>
      <x:c r="I75" t="str">
        <x:f>IF(H75&gt;=0,"이익","손해")</x:f>
        <x:v>손해</x:v>
      </x:c>
      <x:c r="J75" t="str">
        <x:v>KPI_U04_STEAM_M01</x:v>
      </x:c>
      <x:c r="K75" t="n">
        <x:f>G21/L21</x:f>
        <x:v>154000</x:v>
      </x:c>
      <x:c r="L75" t="n">
        <x:f>IF(YEAR(B21)=2024,1,1)</x:f>
        <x:v>1</x:v>
      </x:c>
      <x:c r="M75" t="str">
        <x:v>원/ton</x:v>
      </x:c>
      <x:c r="N75" t="str">
        <x:v>(목표-실제)×손익반영단가</x:v>
      </x:c>
    </x:row>
    <x:row r="76">
      <x:c r="A76" t="str">
        <x:f>'일별 KPI·변수'!A20</x:f>
        <x:v>2024년 11월 18일 ~ 11월 27일</x:v>
      </x:c>
      <x:c r="B76" t="str">
        <x:f>'일별 KPI·변수'!B20</x:f>
        <x:v>2024-11-26</x:v>
      </x:c>
      <x:c r="C76" t="str">
        <x:v>가스량</x:v>
      </x:c>
      <x:c r="D76" s="8" t="n">
        <x:f>'일별 KPI·변수'!O20</x:f>
        <x:v>1046980.378458829</x:v>
      </x:c>
      <x:c r="E76" s="8" t="n">
        <x:f>IF(YEAR(B22)=2024,'원가 기준'!$G$4,'원가 기준'!$G$5)</x:f>
        <x:v>1042423.4621</x:v>
      </x:c>
      <x:c r="F76" s="8" t="n">
        <x:f>D76-E76</x:f>
        <x:v>4556.91635882901</x:v>
      </x:c>
      <x:c r="G76" s="8" t="n">
        <x:f>K76*L76</x:f>
        <x:v>90</x:v>
      </x:c>
      <x:c r="H76" s="7" t="n">
        <x:f>F22*G22</x:f>
        <x:v>-308865.97761792655</x:v>
      </x:c>
      <x:c r="I76" t="str">
        <x:f>IF(H76&gt;=0,"이익","손해")</x:f>
        <x:v>손해</x:v>
      </x:c>
      <x:c r="J76" t="str">
        <x:v>KPI_U04_QTY_G01</x:v>
      </x:c>
      <x:c r="K76" t="n">
        <x:f>IF(YEAR(B22)=2024,'원가 기준'!$C$4,'원가 기준'!$C$5)</x:f>
        <x:v>300</x:v>
      </x:c>
      <x:c r="L76" t="n">
        <x:f>IF(YEAR(B22)=2024,'원가 기준'!$D$4,'원가 기준'!$D$5)</x:f>
        <x:v>0.3</x:v>
      </x:c>
      <x:c r="M76" t="str">
        <x:v>원/Nm3</x:v>
      </x:c>
      <x:c r="N76" t="str">
        <x:v>(실제-목표)×손익반영단가</x:v>
      </x:c>
    </x:row>
    <x:row r="77">
      <x:c r="A77" t="str">
        <x:f>'일별 KPI·변수'!A20</x:f>
        <x:v>2024년 11월 18일 ~ 11월 27일</x:v>
      </x:c>
      <x:c r="B77" t="str">
        <x:f>'일별 KPI·변수'!B20</x:f>
        <x:v>2024-11-26</x:v>
      </x:c>
      <x:c r="C77" t="str">
        <x:v>약품 A</x:v>
      </x:c>
      <x:c r="D77" s="8" t="n">
        <x:f>'일별 KPI·변수'!V20</x:f>
        <x:v>496.8078574489821</x:v>
      </x:c>
      <x:c r="E77" s="8" t="n">
        <x:f>'원가 기준'!$G$6</x:f>
        <x:v>497.46725</x:v>
      </x:c>
      <x:c r="F77" s="8" t="n">
        <x:f>E77-D77</x:f>
        <x:v>0.659392551017902</x:v>
      </x:c>
      <x:c r="G77" s="8" t="n">
        <x:f>K77*L77</x:f>
        <x:v>154000</x:v>
      </x:c>
      <x:c r="H77" s="7" t="n">
        <x:f>F22*G22</x:f>
        <x:v>-308865.97761792655</x:v>
      </x:c>
      <x:c r="I77" t="str">
        <x:f>IF(H77&gt;=0,"이익","손해")</x:f>
        <x:v>손해</x:v>
      </x:c>
      <x:c r="J77" t="str">
        <x:v>KPI_U04_CHEM_M01</x:v>
      </x:c>
      <x:c r="K77" t="n">
        <x:f>'원가 기준'!$C$6</x:f>
        <x:v>154000</x:v>
      </x:c>
      <x:c r="L77" t="n">
        <x:f>'원가 기준'!$D$6</x:f>
        <x:v>1</x:v>
      </x:c>
      <x:c r="M77" t="str">
        <x:v>원/kg</x:v>
      </x:c>
      <x:c r="N77" t="str">
        <x:v>(목표-실제)×손익반영단가</x:v>
      </x:c>
    </x:row>
    <x:row r="78">
      <x:c r="A78" t="str">
        <x:f>'일별 KPI·변수'!A20</x:f>
        <x:v>2024년 11월 18일 ~ 11월 27일</x:v>
      </x:c>
      <x:c r="B78" t="str">
        <x:f>'일별 KPI·변수'!B20</x:f>
        <x:v>2024-11-26</x:v>
      </x:c>
      <x:c r="C78" t="str">
        <x:v>약품 B</x:v>
      </x:c>
      <x:c r="D78" s="8" t="n">
        <x:f>'일별 KPI·변수'!W20</x:f>
        <x:v>887.7427500490156</x:v>
      </x:c>
      <x:c r="E78" s="8" t="n">
        <x:f>'원가 기준'!$G$7</x:f>
        <x:v>898.13507</x:v>
      </x:c>
      <x:c r="F78" s="8" t="n">
        <x:f>E78-D78</x:f>
        <x:v>10.392319950984415</x:v>
      </x:c>
      <x:c r="G78" s="8" t="n">
        <x:f>K78*L78</x:f>
        <x:v>128000</x:v>
      </x:c>
      <x:c r="H78" s="7" t="n">
        <x:f>F22*G22</x:f>
        <x:v>-308865.97761792655</x:v>
      </x:c>
      <x:c r="I78" t="str">
        <x:f>IF(H78&gt;=0,"이익","손해")</x:f>
        <x:v>손해</x:v>
      </x:c>
      <x:c r="J78" t="str">
        <x:v>KPI_U04_CHEM_M02</x:v>
      </x:c>
      <x:c r="K78" t="n">
        <x:f>'원가 기준'!$C$7</x:f>
        <x:v>128000</x:v>
      </x:c>
      <x:c r="L78" t="n">
        <x:f>'원가 기준'!$D$7</x:f>
        <x:v>1</x:v>
      </x:c>
      <x:c r="M78" t="str">
        <x:v>원/kg</x:v>
      </x:c>
      <x:c r="N78" t="str">
        <x:v>(목표-실제)×손익반영단가</x:v>
      </x:c>
    </x:row>
    <x:row r="79">
      <x:c r="A79" t="str">
        <x:f>'일별 KPI·변수'!A20</x:f>
        <x:v>2024년 11월 18일 ~ 11월 27일</x:v>
      </x:c>
      <x:c r="B79" t="str">
        <x:f>'일별 KPI·변수'!B20</x:f>
        <x:v>2024-11-26</x:v>
      </x:c>
      <x:c r="C79" t="str">
        <x:v>스팀</x:v>
      </x:c>
      <x:c r="D79" s="8" t="n">
        <x:f>'추가 변수'!B20</x:f>
        <x:v>0.26832451735919</x:v>
      </x:c>
      <x:c r="E79" s="8" t="n">
        <x:f>IF(YEAR(B22)=2024,IF(MONTH(B22)&lt;=3,'원가 기준'!$G$8,IF(MONTH(B22)&lt;=6,'원가 기준'!$G$9,IF(MONTH(B22)&lt;=9,'원가 기준'!$G$10,'원가 기준'!$G$13))),IF(MONTH(B22)&lt;=3,'원가 기준'!$G$14,IF(MONTH(B22)&lt;=6,'원가 기준'!$G$15,'원가 기준'!$G$16)))</x:f>
        <x:v>36.4426</x:v>
      </x:c>
      <x:c r="F79" s="8" t="n">
        <x:f>E79-D79</x:f>
        <x:v>36.17427548264081</x:v>
      </x:c>
      <x:c r="G79" s="8" t="n">
        <x:f>K79*L79</x:f>
        <x:v>128000</x:v>
      </x:c>
      <x:c r="H79" s="7" t="n">
        <x:f>F22*G22</x:f>
        <x:v>-308865.97761792655</x:v>
      </x:c>
      <x:c r="I79" t="str">
        <x:f>IF(H79&gt;=0,"이익","손해")</x:f>
        <x:v>손해</x:v>
      </x:c>
      <x:c r="J79" t="str">
        <x:v>KPI_U04_STEAM_M01</x:v>
      </x:c>
      <x:c r="K79" t="n">
        <x:f>G22/L22</x:f>
        <x:v>128000</x:v>
      </x:c>
      <x:c r="L79" t="n">
        <x:f>IF(YEAR(B22)=2024,1,1)</x:f>
        <x:v>1</x:v>
      </x:c>
      <x:c r="M79" t="str">
        <x:v>원/ton</x:v>
      </x:c>
      <x:c r="N79" t="str">
        <x:v>(목표-실제)×손익반영단가</x:v>
      </x:c>
    </x:row>
    <x:row r="80">
      <x:c r="A80" t="str">
        <x:f>'일별 KPI·변수'!A21</x:f>
        <x:v>2024년 11월 18일 ~ 11월 27일</x:v>
      </x:c>
      <x:c r="B80" t="str">
        <x:f>'일별 KPI·변수'!B21</x:f>
        <x:v>2024-11-27</x:v>
      </x:c>
      <x:c r="C80" t="str">
        <x:v>가스량</x:v>
      </x:c>
      <x:c r="D80" s="8" t="n">
        <x:f>'일별 KPI·변수'!O21</x:f>
        <x:v>1056502.395819254</x:v>
      </x:c>
      <x:c r="E80" s="8" t="n">
        <x:f>IF(YEAR(B23)=2024,'원가 기준'!$G$4,'원가 기준'!$G$5)</x:f>
        <x:v>1042423.4621</x:v>
      </x:c>
      <x:c r="F80" s="8" t="n">
        <x:f>D80-E80</x:f>
        <x:v>14078.933719253982</x:v>
      </x:c>
      <x:c r="G80" s="8" t="n">
        <x:f>K80*L80</x:f>
        <x:v>90</x:v>
      </x:c>
      <x:c r="H80" s="7" t="n">
        <x:f>F23*G23</x:f>
        <x:v>10857.483001694938</x:v>
      </x:c>
      <x:c r="I80" t="str">
        <x:f>IF(H80&gt;=0,"이익","손해")</x:f>
        <x:v>이익</x:v>
      </x:c>
      <x:c r="J80" t="str">
        <x:v>KPI_U04_QTY_G01</x:v>
      </x:c>
      <x:c r="K80" t="n">
        <x:f>IF(YEAR(B23)=2024,'원가 기준'!$C$4,'원가 기준'!$C$5)</x:f>
        <x:v>300</x:v>
      </x:c>
      <x:c r="L80" t="n">
        <x:f>IF(YEAR(B23)=2024,'원가 기준'!$D$4,'원가 기준'!$D$5)</x:f>
        <x:v>0.3</x:v>
      </x:c>
      <x:c r="M80" t="str">
        <x:v>원/Nm3</x:v>
      </x:c>
      <x:c r="N80" t="str">
        <x:v>(실제-목표)×손익반영단가</x:v>
      </x:c>
    </x:row>
    <x:row r="81">
      <x:c r="A81" t="str">
        <x:f>'일별 KPI·변수'!A21</x:f>
        <x:v>2024년 11월 18일 ~ 11월 27일</x:v>
      </x:c>
      <x:c r="B81" t="str">
        <x:f>'일별 KPI·변수'!B21</x:f>
        <x:v>2024-11-27</x:v>
      </x:c>
      <x:c r="C81" t="str">
        <x:v>약품 A</x:v>
      </x:c>
      <x:c r="D81" s="8" t="n">
        <x:f>'일별 KPI·변수'!V21</x:f>
        <x:v>495.7787605159865</x:v>
      </x:c>
      <x:c r="E81" s="8" t="n">
        <x:f>'원가 기준'!$G$6</x:f>
        <x:v>497.46725</x:v>
      </x:c>
      <x:c r="F81" s="8" t="n">
        <x:f>E81-D81</x:f>
        <x:v>1.6884894840134734</x:v>
      </x:c>
      <x:c r="G81" s="8" t="n">
        <x:f>K81*L81</x:f>
        <x:v>154000</x:v>
      </x:c>
      <x:c r="H81" s="7" t="n">
        <x:f>F23*G23</x:f>
        <x:v>10857.483001694938</x:v>
      </x:c>
      <x:c r="I81" t="str">
        <x:f>IF(H81&gt;=0,"이익","손해")</x:f>
        <x:v>이익</x:v>
      </x:c>
      <x:c r="J81" t="str">
        <x:v>KPI_U04_CHEM_M01</x:v>
      </x:c>
      <x:c r="K81" t="n">
        <x:f>'원가 기준'!$C$6</x:f>
        <x:v>154000</x:v>
      </x:c>
      <x:c r="L81" t="n">
        <x:f>'원가 기준'!$D$6</x:f>
        <x:v>1</x:v>
      </x:c>
      <x:c r="M81" t="str">
        <x:v>원/kg</x:v>
      </x:c>
      <x:c r="N81" t="str">
        <x:v>(목표-실제)×손익반영단가</x:v>
      </x:c>
    </x:row>
    <x:row r="82">
      <x:c r="A82" t="str">
        <x:f>'일별 KPI·변수'!A21</x:f>
        <x:v>2024년 11월 18일 ~ 11월 27일</x:v>
      </x:c>
      <x:c r="B82" t="str">
        <x:f>'일별 KPI·변수'!B21</x:f>
        <x:v>2024-11-27</x:v>
      </x:c>
      <x:c r="C82" t="str">
        <x:v>약품 B</x:v>
      </x:c>
      <x:c r="D82" s="8" t="n">
        <x:f>'일별 KPI·변수'!W21</x:f>
        <x:v>888.609710197627</x:v>
      </x:c>
      <x:c r="E82" s="8" t="n">
        <x:f>'원가 기준'!$G$7</x:f>
        <x:v>898.13507</x:v>
      </x:c>
      <x:c r="F82" s="8" t="n">
        <x:f>E82-D82</x:f>
        <x:v>9.525359802373032</x:v>
      </x:c>
      <x:c r="G82" s="8" t="n">
        <x:f>K82*L82</x:f>
        <x:v>128000</x:v>
      </x:c>
      <x:c r="H82" s="7" t="n">
        <x:f>F23*G23</x:f>
        <x:v>10857.483001694938</x:v>
      </x:c>
      <x:c r="I82" t="str">
        <x:f>IF(H82&gt;=0,"이익","손해")</x:f>
        <x:v>이익</x:v>
      </x:c>
      <x:c r="J82" t="str">
        <x:v>KPI_U04_CHEM_M02</x:v>
      </x:c>
      <x:c r="K82" t="n">
        <x:f>'원가 기준'!$C$7</x:f>
        <x:v>128000</x:v>
      </x:c>
      <x:c r="L82" t="n">
        <x:f>'원가 기준'!$D$7</x:f>
        <x:v>1</x:v>
      </x:c>
      <x:c r="M82" t="str">
        <x:v>원/kg</x:v>
      </x:c>
      <x:c r="N82" t="str">
        <x:v>(목표-실제)×손익반영단가</x:v>
      </x:c>
    </x:row>
    <x:row r="83">
      <x:c r="A83" t="str">
        <x:f>'일별 KPI·변수'!A21</x:f>
        <x:v>2024년 11월 18일 ~ 11월 27일</x:v>
      </x:c>
      <x:c r="B83" t="str">
        <x:f>'일별 KPI·변수'!B21</x:f>
        <x:v>2024-11-27</x:v>
      </x:c>
      <x:c r="C83" t="str">
        <x:v>스팀</x:v>
      </x:c>
      <x:c r="D83" s="8" t="n">
        <x:f>'추가 변수'!B21</x:f>
        <x:v>0.2580636615245487</x:v>
      </x:c>
      <x:c r="E83" s="8" t="n">
        <x:f>IF(YEAR(B23)=2024,IF(MONTH(B23)&lt;=3,'원가 기준'!$G$8,IF(MONTH(B23)&lt;=6,'원가 기준'!$G$9,IF(MONTH(B23)&lt;=9,'원가 기준'!$G$10,'원가 기준'!$G$13))),IF(MONTH(B23)&lt;=3,'원가 기준'!$G$14,IF(MONTH(B23)&lt;=6,'원가 기준'!$G$15,'원가 기준'!$G$16)))</x:f>
        <x:v>36.4426</x:v>
      </x:c>
      <x:c r="F83" s="8" t="n">
        <x:f>E83-D83</x:f>
        <x:v>36.18453633847545</x:v>
      </x:c>
      <x:c r="G83" s="8" t="n">
        <x:f>K83*L83</x:f>
        <x:v>300</x:v>
      </x:c>
      <x:c r="H83" s="7" t="n">
        <x:f>F23*G23</x:f>
        <x:v>10857.483001694938</x:v>
      </x:c>
      <x:c r="I83" t="str">
        <x:f>IF(H83&gt;=0,"이익","손해")</x:f>
        <x:v>이익</x:v>
      </x:c>
      <x:c r="J83" t="str">
        <x:v>KPI_U04_STEAM_M01</x:v>
      </x:c>
      <x:c r="K83" t="n">
        <x:f>G23/L23</x:f>
        <x:v>300</x:v>
      </x:c>
      <x:c r="L83" t="n">
        <x:f>IF(YEAR(B23)=2024,1,1)</x:f>
        <x:v>1</x:v>
      </x:c>
      <x:c r="M83" t="str">
        <x:v>원/ton</x:v>
      </x:c>
      <x:c r="N83" t="str">
        <x:v>(목표-실제)×손익반영단가</x:v>
      </x:c>
    </x:row>
    <x:row r="84">
      <x:c r="A84" t="str">
        <x:f>'일별 KPI·변수'!A22</x:f>
        <x:v>2025년 4월 3일 ~ 4월 9일</x:v>
      </x:c>
      <x:c r="B84" t="str">
        <x:f>'일별 KPI·변수'!B22</x:f>
        <x:v>2025-04-03</x:v>
      </x:c>
      <x:c r="C84" t="str">
        <x:v>가스량</x:v>
      </x:c>
      <x:c r="D84" s="8" t="n">
        <x:f>'일별 KPI·변수'!O22</x:f>
        <x:v>1047786.719581976</x:v>
      </x:c>
      <x:c r="E84" s="8" t="n">
        <x:f>IF(YEAR(B24)=2024,'원가 기준'!$G$4,'원가 기준'!$G$5)</x:f>
        <x:v>1042423.4621</x:v>
      </x:c>
      <x:c r="F84" s="8" t="n">
        <x:f>D84-E84</x:f>
        <x:v>5363.257481975947</x:v>
      </x:c>
      <x:c r="G84" s="8" t="n">
        <x:f>K84*L84</x:f>
        <x:v>90</x:v>
      </x:c>
      <x:c r="H84" s="7" t="n">
        <x:f>F24*G24</x:f>
        <x:v>1734642.869299011</x:v>
      </x:c>
      <x:c r="I84" t="str">
        <x:f>IF(H84&gt;=0,"이익","손해")</x:f>
        <x:v>이익</x:v>
      </x:c>
      <x:c r="J84" t="str">
        <x:v>KPI_U04_QTY_G01</x:v>
      </x:c>
      <x:c r="K84" t="n">
        <x:f>IF(YEAR(B24)=2024,'원가 기준'!$C$4,'원가 기준'!$C$5)</x:f>
        <x:v>300</x:v>
      </x:c>
      <x:c r="L84" t="n">
        <x:f>IF(YEAR(B24)=2024,'원가 기준'!$D$4,'원가 기준'!$D$5)</x:f>
        <x:v>0.3</x:v>
      </x:c>
      <x:c r="M84" t="str">
        <x:v>원/Nm3</x:v>
      </x:c>
      <x:c r="N84" t="str">
        <x:v>(실제-목표)×손익반영단가</x:v>
      </x:c>
    </x:row>
    <x:row r="85">
      <x:c r="A85" t="str">
        <x:f>'일별 KPI·변수'!A22</x:f>
        <x:v>2025년 4월 3일 ~ 4월 9일</x:v>
      </x:c>
      <x:c r="B85" t="str">
        <x:f>'일별 KPI·변수'!B22</x:f>
        <x:v>2025-04-03</x:v>
      </x:c>
      <x:c r="C85" t="str">
        <x:v>약품 A</x:v>
      </x:c>
      <x:c r="D85" s="8" t="n">
        <x:f>'일별 KPI·변수'!V22</x:f>
        <x:v>495.0893566440039</x:v>
      </x:c>
      <x:c r="E85" s="8" t="n">
        <x:f>'원가 기준'!$G$6</x:f>
        <x:v>497.46725</x:v>
      </x:c>
      <x:c r="F85" s="8" t="n">
        <x:f>E85-D85</x:f>
        <x:v>2.3778933559960933</x:v>
      </x:c>
      <x:c r="G85" s="8" t="n">
        <x:f>K85*L85</x:f>
        <x:v>154000</x:v>
      </x:c>
      <x:c r="H85" s="7" t="n">
        <x:f>F24*G24</x:f>
        <x:v>1734642.869299011</x:v>
      </x:c>
      <x:c r="I85" t="str">
        <x:f>IF(H85&gt;=0,"이익","손해")</x:f>
        <x:v>이익</x:v>
      </x:c>
      <x:c r="J85" t="str">
        <x:v>KPI_U04_CHEM_M01</x:v>
      </x:c>
      <x:c r="K85" t="n">
        <x:f>'원가 기준'!$C$6</x:f>
        <x:v>154000</x:v>
      </x:c>
      <x:c r="L85" t="n">
        <x:f>'원가 기준'!$D$6</x:f>
        <x:v>1</x:v>
      </x:c>
      <x:c r="M85" t="str">
        <x:v>원/kg</x:v>
      </x:c>
      <x:c r="N85" t="str">
        <x:v>(목표-실제)×손익반영단가</x:v>
      </x:c>
    </x:row>
    <x:row r="86">
      <x:c r="A86" t="str">
        <x:f>'일별 KPI·변수'!A22</x:f>
        <x:v>2025년 4월 3일 ~ 4월 9일</x:v>
      </x:c>
      <x:c r="B86" t="str">
        <x:f>'일별 KPI·변수'!B22</x:f>
        <x:v>2025-04-03</x:v>
      </x:c>
      <x:c r="C86" t="str">
        <x:v>약품 B</x:v>
      </x:c>
      <x:c r="D86" s="8" t="n">
        <x:f>'일별 KPI·변수'!W22</x:f>
        <x:v>896.3699499395562</x:v>
      </x:c>
      <x:c r="E86" s="8" t="n">
        <x:f>'원가 기준'!$G$7</x:f>
        <x:v>898.13507</x:v>
      </x:c>
      <x:c r="F86" s="8" t="n">
        <x:f>E86-D86</x:f>
        <x:v>1.7651200604437918</x:v>
      </x:c>
      <x:c r="G86" s="8" t="n">
        <x:f>K86*L86</x:f>
        <x:v>128000</x:v>
      </x:c>
      <x:c r="H86" s="7" t="n">
        <x:f>F24*G24</x:f>
        <x:v>1734642.869299011</x:v>
      </x:c>
      <x:c r="I86" t="str">
        <x:f>IF(H86&gt;=0,"이익","손해")</x:f>
        <x:v>이익</x:v>
      </x:c>
      <x:c r="J86" t="str">
        <x:v>KPI_U04_CHEM_M02</x:v>
      </x:c>
      <x:c r="K86" t="n">
        <x:f>'원가 기준'!$C$7</x:f>
        <x:v>128000</x:v>
      </x:c>
      <x:c r="L86" t="n">
        <x:f>'원가 기준'!$D$7</x:f>
        <x:v>1</x:v>
      </x:c>
      <x:c r="M86" t="str">
        <x:v>원/kg</x:v>
      </x:c>
      <x:c r="N86" t="str">
        <x:v>(목표-실제)×손익반영단가</x:v>
      </x:c>
    </x:row>
    <x:row r="87">
      <x:c r="A87" t="str">
        <x:f>'일별 KPI·변수'!A22</x:f>
        <x:v>2025년 4월 3일 ~ 4월 9일</x:v>
      </x:c>
      <x:c r="B87" t="str">
        <x:f>'일별 KPI·변수'!B22</x:f>
        <x:v>2025-04-03</x:v>
      </x:c>
      <x:c r="C87" t="str">
        <x:v>스팀</x:v>
      </x:c>
      <x:c r="D87" s="8" t="n">
        <x:f>'추가 변수'!B22</x:f>
        <x:v>0.2536025583038448</x:v>
      </x:c>
      <x:c r="E87" s="8" t="n">
        <x:f>IF(YEAR(B24)=2024,IF(MONTH(B24)&lt;=3,'원가 기준'!$G$8,IF(MONTH(B24)&lt;=6,'원가 기준'!$G$9,IF(MONTH(B24)&lt;=9,'원가 기준'!$G$10,'원가 기준'!$G$13))),IF(MONTH(B24)&lt;=3,'원가 기준'!$G$14,IF(MONTH(B24)&lt;=6,'원가 기준'!$G$15,'원가 기준'!$G$16)))</x:f>
        <x:v>36.4426</x:v>
      </x:c>
      <x:c r="F87" s="8" t="n">
        <x:f>E87-D87</x:f>
        <x:v>36.18899744169615</x:v>
      </x:c>
      <x:c r="G87" s="8" t="n">
        <x:f>K87*L87</x:f>
        <x:v>300</x:v>
      </x:c>
      <x:c r="H87" s="7" t="n">
        <x:f>F24*G24</x:f>
        <x:v>1734642.869299011</x:v>
      </x:c>
      <x:c r="I87" t="str">
        <x:f>IF(H87&gt;=0,"이익","손해")</x:f>
        <x:v>이익</x:v>
      </x:c>
      <x:c r="J87" t="str">
        <x:v>KPI_U04_STEAM_M01</x:v>
      </x:c>
      <x:c r="K87" t="n">
        <x:f>G24/L24</x:f>
        <x:v>300</x:v>
      </x:c>
      <x:c r="L87" t="n">
        <x:f>IF(YEAR(B24)=2024,1,1)</x:f>
        <x:v>1</x:v>
      </x:c>
      <x:c r="M87" t="str">
        <x:v>원/ton</x:v>
      </x:c>
      <x:c r="N87" t="str">
        <x:v>(목표-실제)×손익반영단가</x:v>
      </x:c>
    </x:row>
    <x:row r="88">
      <x:c r="A88" t="str">
        <x:f>'일별 KPI·변수'!A23</x:f>
        <x:v>2025년 4월 3일 ~ 4월 9일</x:v>
      </x:c>
      <x:c r="B88" t="str">
        <x:f>'일별 KPI·변수'!B23</x:f>
        <x:v>2025-04-04</x:v>
      </x:c>
      <x:c r="C88" t="str">
        <x:v>가스량</x:v>
      </x:c>
      <x:c r="D88" s="8" t="n">
        <x:f>'일별 KPI·변수'!O23</x:f>
        <x:v>1004056.176077551</x:v>
      </x:c>
      <x:c r="E88" s="8" t="n">
        <x:f>IF(YEAR(B25)=2024,'원가 기준'!$G$4,'원가 기준'!$G$5)</x:f>
        <x:v>1042423.4621</x:v>
      </x:c>
      <x:c r="F88" s="8" t="n">
        <x:f>D88-E88</x:f>
        <x:v>-38367.28602244903</x:v>
      </x:c>
      <x:c r="G88" s="8" t="n">
        <x:f>K88*L88</x:f>
        <x:v>90</x:v>
      </x:c>
      <x:c r="H88" s="7" t="n">
        <x:f>F25*G25</x:f>
        <x:v>-715569.6778503257</x:v>
      </x:c>
      <x:c r="I88" t="str">
        <x:f>IF(H88&gt;=0,"이익","손해")</x:f>
        <x:v>손해</x:v>
      </x:c>
      <x:c r="J88" t="str">
        <x:v>KPI_U04_QTY_G01</x:v>
      </x:c>
      <x:c r="K88" t="n">
        <x:f>IF(YEAR(B25)=2024,'원가 기준'!$C$4,'원가 기준'!$C$5)</x:f>
        <x:v>300</x:v>
      </x:c>
      <x:c r="L88" t="n">
        <x:f>IF(YEAR(B25)=2024,'원가 기준'!$D$4,'원가 기준'!$D$5)</x:f>
        <x:v>0.3</x:v>
      </x:c>
      <x:c r="M88" t="str">
        <x:v>원/Nm3</x:v>
      </x:c>
      <x:c r="N88" t="str">
        <x:v>(실제-목표)×손익반영단가</x:v>
      </x:c>
    </x:row>
    <x:row r="89">
      <x:c r="A89" t="str">
        <x:f>'일별 KPI·변수'!A23</x:f>
        <x:v>2025년 4월 3일 ~ 4월 9일</x:v>
      </x:c>
      <x:c r="B89" t="str">
        <x:f>'일별 KPI·변수'!B23</x:f>
        <x:v>2025-04-04</x:v>
      </x:c>
      <x:c r="C89" t="str">
        <x:v>약품 A</x:v>
      </x:c>
      <x:c r="D89" s="8" t="n">
        <x:f>'일별 KPI·변수'!V23</x:f>
        <x:v>472.9668460463892</x:v>
      </x:c>
      <x:c r="E89" s="8" t="n">
        <x:f>'원가 기준'!$G$6</x:f>
        <x:v>497.46725</x:v>
      </x:c>
      <x:c r="F89" s="8" t="n">
        <x:f>E89-D89</x:f>
        <x:v>24.50040395361077</x:v>
      </x:c>
      <x:c r="G89" s="8" t="n">
        <x:f>K89*L89</x:f>
        <x:v>154000</x:v>
      </x:c>
      <x:c r="H89" s="7" t="n">
        <x:f>F25*G25</x:f>
        <x:v>-715569.6778503257</x:v>
      </x:c>
      <x:c r="I89" t="str">
        <x:f>IF(H89&gt;=0,"이익","손해")</x:f>
        <x:v>손해</x:v>
      </x:c>
      <x:c r="J89" t="str">
        <x:v>KPI_U04_CHEM_M01</x:v>
      </x:c>
      <x:c r="K89" t="n">
        <x:f>'원가 기준'!$C$6</x:f>
        <x:v>154000</x:v>
      </x:c>
      <x:c r="L89" t="n">
        <x:f>'원가 기준'!$D$6</x:f>
        <x:v>1</x:v>
      </x:c>
      <x:c r="M89" t="str">
        <x:v>원/kg</x:v>
      </x:c>
      <x:c r="N89" t="str">
        <x:v>(목표-실제)×손익반영단가</x:v>
      </x:c>
    </x:row>
    <x:row r="90">
      <x:c r="A90" t="str">
        <x:f>'일별 KPI·변수'!A23</x:f>
        <x:v>2025년 4월 3일 ~ 4월 9일</x:v>
      </x:c>
      <x:c r="B90" t="str">
        <x:f>'일별 KPI·변수'!B23</x:f>
        <x:v>2025-04-04</x:v>
      </x:c>
      <x:c r="C90" t="str">
        <x:v>약품 B</x:v>
      </x:c>
      <x:c r="D90" s="8" t="n">
        <x:f>'일별 KPI·변수'!W23</x:f>
        <x:v>880.1684107644644</x:v>
      </x:c>
      <x:c r="E90" s="8" t="n">
        <x:f>'원가 기준'!$G$7</x:f>
        <x:v>898.13507</x:v>
      </x:c>
      <x:c r="F90" s="8" t="n">
        <x:f>E90-D90</x:f>
        <x:v>17.966659235535644</x:v>
      </x:c>
      <x:c r="G90" s="8" t="n">
        <x:f>K90*L90</x:f>
        <x:v>128000</x:v>
      </x:c>
      <x:c r="H90" s="7" t="n">
        <x:f>F25*G25</x:f>
        <x:v>-715569.6778503257</x:v>
      </x:c>
      <x:c r="I90" t="str">
        <x:f>IF(H90&gt;=0,"이익","손해")</x:f>
        <x:v>손해</x:v>
      </x:c>
      <x:c r="J90" t="str">
        <x:v>KPI_U04_CHEM_M02</x:v>
      </x:c>
      <x:c r="K90" t="n">
        <x:f>'원가 기준'!$C$7</x:f>
        <x:v>128000</x:v>
      </x:c>
      <x:c r="L90" t="n">
        <x:f>'원가 기준'!$D$7</x:f>
        <x:v>1</x:v>
      </x:c>
      <x:c r="M90" t="str">
        <x:v>원/kg</x:v>
      </x:c>
      <x:c r="N90" t="str">
        <x:v>(목표-실제)×손익반영단가</x:v>
      </x:c>
    </x:row>
    <x:row r="91">
      <x:c r="A91" t="str">
        <x:f>'일별 KPI·변수'!A23</x:f>
        <x:v>2025년 4월 3일 ~ 4월 9일</x:v>
      </x:c>
      <x:c r="B91" t="str">
        <x:f>'일별 KPI·변수'!B23</x:f>
        <x:v>2025-04-04</x:v>
      </x:c>
      <x:c r="C91" t="str">
        <x:v>스팀</x:v>
      </x:c>
      <x:c r="D91" s="8" t="n">
        <x:f>'추가 변수'!B23</x:f>
        <x:v>0.2467264674113314</x:v>
      </x:c>
      <x:c r="E91" s="8" t="n">
        <x:f>IF(YEAR(B25)=2024,IF(MONTH(B25)&lt;=3,'원가 기준'!$G$8,IF(MONTH(B25)&lt;=6,'원가 기준'!$G$9,IF(MONTH(B25)&lt;=9,'원가 기준'!$G$10,'원가 기준'!$G$13))),IF(MONTH(B25)&lt;=3,'원가 기준'!$G$14,IF(MONTH(B25)&lt;=6,'원가 기준'!$G$15,'원가 기준'!$G$16)))</x:f>
        <x:v>36.4426</x:v>
      </x:c>
      <x:c r="F91" s="8" t="n">
        <x:f>E91-D91</x:f>
        <x:v>36.19587353258867</x:v>
      </x:c>
      <x:c r="G91" s="8" t="n">
        <x:f>K91*L91</x:f>
        <x:v>154000</x:v>
      </x:c>
      <x:c r="H91" s="7" t="n">
        <x:f>F25*G25</x:f>
        <x:v>-715569.6778503257</x:v>
      </x:c>
      <x:c r="I91" t="str">
        <x:f>IF(H91&gt;=0,"이익","손해")</x:f>
        <x:v>손해</x:v>
      </x:c>
      <x:c r="J91" t="str">
        <x:v>KPI_U04_STEAM_M01</x:v>
      </x:c>
      <x:c r="K91" t="n">
        <x:f>G25/L25</x:f>
        <x:v>154000</x:v>
      </x:c>
      <x:c r="L91" t="n">
        <x:f>IF(YEAR(B25)=2024,1,1)</x:f>
        <x:v>1</x:v>
      </x:c>
      <x:c r="M91" t="str">
        <x:v>원/ton</x:v>
      </x:c>
      <x:c r="N91" t="str">
        <x:v>(목표-실제)×손익반영단가</x:v>
      </x:c>
    </x:row>
    <x:row r="92">
      <x:c r="A92" t="str">
        <x:f>'일별 KPI·변수'!A24</x:f>
        <x:v>2025년 4월 3일 ~ 4월 9일</x:v>
      </x:c>
      <x:c r="B92" t="str">
        <x:f>'일별 KPI·변수'!B24</x:f>
        <x:v>2025-04-05</x:v>
      </x:c>
      <x:c r="C92" t="str">
        <x:v>가스량</x:v>
      </x:c>
      <x:c r="D92" s="8" t="n">
        <x:f>'일별 KPI·변수'!O24</x:f>
        <x:v>1031887.74755064</x:v>
      </x:c>
      <x:c r="E92" s="8" t="n">
        <x:f>IF(YEAR(B26)=2024,'원가 기준'!$G$4,'원가 기준'!$G$5)</x:f>
        <x:v>1042423.4621</x:v>
      </x:c>
      <x:c r="F92" s="8" t="n">
        <x:f>D92-E92</x:f>
        <x:v>-10535.714549359982</x:v>
      </x:c>
      <x:c r="G92" s="8" t="n">
        <x:f>K92*L92</x:f>
        <x:v>90</x:v>
      </x:c>
      <x:c r="H92" s="7" t="n">
        <x:f>F26*G26</x:f>
        <x:v>1040235.405968604</x:v>
      </x:c>
      <x:c r="I92" t="str">
        <x:f>IF(H92&gt;=0,"이익","손해")</x:f>
        <x:v>이익</x:v>
      </x:c>
      <x:c r="J92" t="str">
        <x:v>KPI_U04_QTY_G01</x:v>
      </x:c>
      <x:c r="K92" t="n">
        <x:f>IF(YEAR(B26)=2024,'원가 기준'!$C$4,'원가 기준'!$C$5)</x:f>
        <x:v>300</x:v>
      </x:c>
      <x:c r="L92" t="n">
        <x:f>IF(YEAR(B26)=2024,'원가 기준'!$D$4,'원가 기준'!$D$5)</x:f>
        <x:v>0.3</x:v>
      </x:c>
      <x:c r="M92" t="str">
        <x:v>원/Nm3</x:v>
      </x:c>
      <x:c r="N92" t="str">
        <x:v>(실제-목표)×손익반영단가</x:v>
      </x:c>
    </x:row>
    <x:row r="93">
      <x:c r="A93" t="str">
        <x:f>'일별 KPI·변수'!A24</x:f>
        <x:v>2025년 4월 3일 ~ 4월 9일</x:v>
      </x:c>
      <x:c r="B93" t="str">
        <x:f>'일별 KPI·변수'!B24</x:f>
        <x:v>2025-04-05</x:v>
      </x:c>
      <x:c r="C93" t="str">
        <x:v>약품 A</x:v>
      </x:c>
      <x:c r="D93" s="8" t="n">
        <x:f>'일별 KPI·변수'!V24</x:f>
        <x:v>482.5499995519838</x:v>
      </x:c>
      <x:c r="E93" s="8" t="n">
        <x:f>'원가 기준'!$G$6</x:f>
        <x:v>497.46725</x:v>
      </x:c>
      <x:c r="F93" s="8" t="n">
        <x:f>E93-D93</x:f>
        <x:v>14.917250448016205</x:v>
      </x:c>
      <x:c r="G93" s="8" t="n">
        <x:f>K93*L93</x:f>
        <x:v>154000</x:v>
      </x:c>
      <x:c r="H93" s="7" t="n">
        <x:f>F26*G26</x:f>
        <x:v>1040235.405968604</x:v>
      </x:c>
      <x:c r="I93" t="str">
        <x:f>IF(H93&gt;=0,"이익","손해")</x:f>
        <x:v>이익</x:v>
      </x:c>
      <x:c r="J93" t="str">
        <x:v>KPI_U04_CHEM_M01</x:v>
      </x:c>
      <x:c r="K93" t="n">
        <x:f>'원가 기준'!$C$6</x:f>
        <x:v>154000</x:v>
      </x:c>
      <x:c r="L93" t="n">
        <x:f>'원가 기준'!$D$6</x:f>
        <x:v>1</x:v>
      </x:c>
      <x:c r="M93" t="str">
        <x:v>원/kg</x:v>
      </x:c>
      <x:c r="N93" t="str">
        <x:v>(목표-실제)×손익반영단가</x:v>
      </x:c>
    </x:row>
    <x:row r="94">
      <x:c r="A94" t="str">
        <x:f>'일별 KPI·변수'!A24</x:f>
        <x:v>2025년 4월 3일 ~ 4월 9일</x:v>
      </x:c>
      <x:c r="B94" t="str">
        <x:f>'일별 KPI·변수'!B24</x:f>
        <x:v>2025-04-05</x:v>
      </x:c>
      <x:c r="C94" t="str">
        <x:v>약품 B</x:v>
      </x:c>
      <x:c r="D94" s="8" t="n">
        <x:f>'일별 KPI·변수'!W24</x:f>
        <x:v>880.4228203871853</x:v>
      </x:c>
      <x:c r="E94" s="8" t="n">
        <x:f>'원가 기준'!$G$7</x:f>
        <x:v>898.13507</x:v>
      </x:c>
      <x:c r="F94" s="8" t="n">
        <x:f>E94-D94</x:f>
        <x:v>17.71224961281473</x:v>
      </x:c>
      <x:c r="G94" s="8" t="n">
        <x:f>K94*L94</x:f>
        <x:v>128000</x:v>
      </x:c>
      <x:c r="H94" s="7" t="n">
        <x:f>F26*G26</x:f>
        <x:v>1040235.405968604</x:v>
      </x:c>
      <x:c r="I94" t="str">
        <x:f>IF(H94&gt;=0,"이익","손해")</x:f>
        <x:v>이익</x:v>
      </x:c>
      <x:c r="J94" t="str">
        <x:v>KPI_U04_CHEM_M02</x:v>
      </x:c>
      <x:c r="K94" t="n">
        <x:f>'원가 기준'!$C$7</x:f>
        <x:v>128000</x:v>
      </x:c>
      <x:c r="L94" t="n">
        <x:f>'원가 기준'!$D$7</x:f>
        <x:v>1</x:v>
      </x:c>
      <x:c r="M94" t="str">
        <x:v>원/kg</x:v>
      </x:c>
      <x:c r="N94" t="str">
        <x:v>(목표-실제)×손익반영단가</x:v>
      </x:c>
    </x:row>
    <x:row r="95">
      <x:c r="A95" t="str">
        <x:f>'일별 KPI·변수'!A24</x:f>
        <x:v>2025년 4월 3일 ~ 4월 9일</x:v>
      </x:c>
      <x:c r="B95" t="str">
        <x:f>'일별 KPI·변수'!B24</x:f>
        <x:v>2025-04-05</x:v>
      </x:c>
      <x:c r="C95" t="str">
        <x:v>스팀</x:v>
      </x:c>
      <x:c r="D95" s="8" t="n">
        <x:f>'추가 변수'!B24</x:f>
        <x:v>0.2541391740818412</x:v>
      </x:c>
      <x:c r="E95" s="8" t="n">
        <x:f>IF(YEAR(B26)=2024,IF(MONTH(B26)&lt;=3,'원가 기준'!$G$8,IF(MONTH(B26)&lt;=6,'원가 기준'!$G$9,IF(MONTH(B26)&lt;=9,'원가 기준'!$G$10,'원가 기준'!$G$13))),IF(MONTH(B26)&lt;=3,'원가 기준'!$G$14,IF(MONTH(B26)&lt;=6,'원가 기준'!$G$15,'원가 기준'!$G$16)))</x:f>
        <x:v>36.4426</x:v>
      </x:c>
      <x:c r="F95" s="8" t="n">
        <x:f>E95-D95</x:f>
        <x:v>36.188460825918156</x:v>
      </x:c>
      <x:c r="G95" s="8" t="n">
        <x:f>K95*L95</x:f>
        <x:v>128000</x:v>
      </x:c>
      <x:c r="H95" s="7" t="n">
        <x:f>F26*G26</x:f>
        <x:v>1040235.405968604</x:v>
      </x:c>
      <x:c r="I95" t="str">
        <x:f>IF(H95&gt;=0,"이익","손해")</x:f>
        <x:v>이익</x:v>
      </x:c>
      <x:c r="J95" t="str">
        <x:v>KPI_U04_STEAM_M01</x:v>
      </x:c>
      <x:c r="K95" t="n">
        <x:f>G26/L26</x:f>
        <x:v>128000</x:v>
      </x:c>
      <x:c r="L95" t="n">
        <x:f>IF(YEAR(B26)=2024,1,1)</x:f>
        <x:v>1</x:v>
      </x:c>
      <x:c r="M95" t="str">
        <x:v>원/ton</x:v>
      </x:c>
      <x:c r="N95" t="str">
        <x:v>(목표-실제)×손익반영단가</x:v>
      </x:c>
    </x:row>
    <x:row r="96">
      <x:c r="A96" t="str">
        <x:f>'일별 KPI·변수'!A25</x:f>
        <x:v>2025년 4월 3일 ~ 4월 9일</x:v>
      </x:c>
      <x:c r="B96" t="str">
        <x:f>'일별 KPI·변수'!B25</x:f>
        <x:v>2025-04-06</x:v>
      </x:c>
      <x:c r="C96" t="str">
        <x:v>가스량</x:v>
      </x:c>
      <x:c r="D96" s="8" t="n">
        <x:f>'일별 KPI·변수'!O25</x:f>
        <x:v>1021871.413772785</x:v>
      </x:c>
      <x:c r="E96" s="8" t="n">
        <x:f>IF(YEAR(B27)=2024,'원가 기준'!$G$4,'원가 기준'!$G$5)</x:f>
        <x:v>1042423.4621</x:v>
      </x:c>
      <x:c r="F96" s="8" t="n">
        <x:f>D96-E96</x:f>
        <x:v>-20552.048327215016</x:v>
      </x:c>
      <x:c r="G96" s="8" t="n">
        <x:f>K96*L96</x:f>
        <x:v>90</x:v>
      </x:c>
      <x:c r="H96" s="7" t="n">
        <x:f>F27*G27</x:f>
        <x:v>5573655.360942569</x:v>
      </x:c>
      <x:c r="I96" t="str">
        <x:f>IF(H96&gt;=0,"이익","손해")</x:f>
        <x:v>이익</x:v>
      </x:c>
      <x:c r="J96" t="str">
        <x:v>KPI_U04_QTY_G01</x:v>
      </x:c>
      <x:c r="K96" t="n">
        <x:f>IF(YEAR(B27)=2024,'원가 기준'!$C$4,'원가 기준'!$C$5)</x:f>
        <x:v>300</x:v>
      </x:c>
      <x:c r="L96" t="n">
        <x:f>IF(YEAR(B27)=2024,'원가 기준'!$D$4,'원가 기준'!$D$5)</x:f>
        <x:v>0.3</x:v>
      </x:c>
      <x:c r="M96" t="str">
        <x:v>원/Nm3</x:v>
      </x:c>
      <x:c r="N96" t="str">
        <x:v>(실제-목표)×손익반영단가</x:v>
      </x:c>
    </x:row>
    <x:row r="97">
      <x:c r="A97" t="str">
        <x:f>'일별 KPI·변수'!A25</x:f>
        <x:v>2025년 4월 3일 ~ 4월 9일</x:v>
      </x:c>
      <x:c r="B97" t="str">
        <x:f>'일별 KPI·변수'!B25</x:f>
        <x:v>2025-04-06</x:v>
      </x:c>
      <x:c r="C97" t="str">
        <x:v>약품 A</x:v>
      </x:c>
      <x:c r="D97" s="8" t="n">
        <x:f>'일별 KPI·변수'!V25</x:f>
        <x:v>471.085378247535</x:v>
      </x:c>
      <x:c r="E97" s="8" t="n">
        <x:f>'원가 기준'!$G$6</x:f>
        <x:v>497.46725</x:v>
      </x:c>
      <x:c r="F97" s="8" t="n">
        <x:f>E97-D97</x:f>
        <x:v>26.381871752464974</x:v>
      </x:c>
      <x:c r="G97" s="8" t="n">
        <x:f>K97*L97</x:f>
        <x:v>154000</x:v>
      </x:c>
      <x:c r="H97" s="7" t="n">
        <x:f>F27*G27</x:f>
        <x:v>5573655.360942569</x:v>
      </x:c>
      <x:c r="I97" t="str">
        <x:f>IF(H97&gt;=0,"이익","손해")</x:f>
        <x:v>이익</x:v>
      </x:c>
      <x:c r="J97" t="str">
        <x:v>KPI_U04_CHEM_M01</x:v>
      </x:c>
      <x:c r="K97" t="n">
        <x:f>'원가 기준'!$C$6</x:f>
        <x:v>154000</x:v>
      </x:c>
      <x:c r="L97" t="n">
        <x:f>'원가 기준'!$D$6</x:f>
        <x:v>1</x:v>
      </x:c>
      <x:c r="M97" t="str">
        <x:v>원/kg</x:v>
      </x:c>
      <x:c r="N97" t="str">
        <x:v>(목표-실제)×손익반영단가</x:v>
      </x:c>
    </x:row>
    <x:row r="98">
      <x:c r="A98" t="str">
        <x:f>'일별 KPI·변수'!A25</x:f>
        <x:v>2025년 4월 3일 ~ 4월 9일</x:v>
      </x:c>
      <x:c r="B98" t="str">
        <x:f>'일별 KPI·변수'!B25</x:f>
        <x:v>2025-04-06</x:v>
      </x:c>
      <x:c r="C98" t="str">
        <x:v>약품 B</x:v>
      </x:c>
      <x:c r="D98" s="8" t="n">
        <x:f>'일별 KPI·변수'!W25</x:f>
        <x:v>880.4118920297688</x:v>
      </x:c>
      <x:c r="E98" s="8" t="n">
        <x:f>'원가 기준'!$G$7</x:f>
        <x:v>898.13507</x:v>
      </x:c>
      <x:c r="F98" s="8" t="n">
        <x:f>E98-D98</x:f>
        <x:v>17.72317797023129</x:v>
      </x:c>
      <x:c r="G98" s="8" t="n">
        <x:f>K98*L98</x:f>
        <x:v>128000</x:v>
      </x:c>
      <x:c r="H98" s="7" t="n">
        <x:f>F27*G27</x:f>
        <x:v>5573655.360942569</x:v>
      </x:c>
      <x:c r="I98" t="str">
        <x:f>IF(H98&gt;=0,"이익","손해")</x:f>
        <x:v>이익</x:v>
      </x:c>
      <x:c r="J98" t="str">
        <x:v>KPI_U04_CHEM_M02</x:v>
      </x:c>
      <x:c r="K98" t="n">
        <x:f>'원가 기준'!$C$7</x:f>
        <x:v>128000</x:v>
      </x:c>
      <x:c r="L98" t="n">
        <x:f>'원가 기준'!$D$7</x:f>
        <x:v>1</x:v>
      </x:c>
      <x:c r="M98" t="str">
        <x:v>원/kg</x:v>
      </x:c>
      <x:c r="N98" t="str">
        <x:v>(목표-실제)×손익반영단가</x:v>
      </x:c>
    </x:row>
    <x:row r="99">
      <x:c r="A99" t="str">
        <x:f>'일별 KPI·변수'!A25</x:f>
        <x:v>2025년 4월 3일 ~ 4월 9일</x:v>
      </x:c>
      <x:c r="B99" t="str">
        <x:f>'일별 KPI·변수'!B25</x:f>
        <x:v>2025-04-06</x:v>
      </x:c>
      <x:c r="C99" t="str">
        <x:v>스팀</x:v>
      </x:c>
      <x:c r="D99" s="8" t="n">
        <x:f>'추가 변수'!B25</x:f>
        <x:v>0.2502735947893592</x:v>
      </x:c>
      <x:c r="E99" s="8" t="n">
        <x:f>IF(YEAR(B27)=2024,IF(MONTH(B27)&lt;=3,'원가 기준'!$G$8,IF(MONTH(B27)&lt;=6,'원가 기준'!$G$9,IF(MONTH(B27)&lt;=9,'원가 기준'!$G$10,'원가 기준'!$G$13))),IF(MONTH(B27)&lt;=3,'원가 기준'!$G$14,IF(MONTH(B27)&lt;=6,'원가 기준'!$G$15,'원가 기준'!$G$16)))</x:f>
        <x:v>36.4426</x:v>
      </x:c>
      <x:c r="F99" s="8" t="n">
        <x:f>E99-D99</x:f>
        <x:v>36.192326405210636</x:v>
      </x:c>
      <x:c r="G99" s="8" t="n">
        <x:f>K99*L99</x:f>
        <x:v>154000</x:v>
      </x:c>
      <x:c r="H99" s="7" t="n">
        <x:f>F27*G27</x:f>
        <x:v>5573655.360942569</x:v>
      </x:c>
      <x:c r="I99" t="str">
        <x:f>IF(H99&gt;=0,"이익","손해")</x:f>
        <x:v>이익</x:v>
      </x:c>
      <x:c r="J99" t="str">
        <x:v>KPI_U04_STEAM_M01</x:v>
      </x:c>
      <x:c r="K99" t="n">
        <x:f>G27/L27</x:f>
        <x:v>154000</x:v>
      </x:c>
      <x:c r="L99" t="n">
        <x:f>IF(YEAR(B27)=2024,1,1)</x:f>
        <x:v>1</x:v>
      </x:c>
      <x:c r="M99" t="str">
        <x:v>원/ton</x:v>
      </x:c>
      <x:c r="N99" t="str">
        <x:v>(목표-실제)×손익반영단가</x:v>
      </x:c>
    </x:row>
    <x:row r="100">
      <x:c r="A100" t="str">
        <x:f>'일별 KPI·변수'!A26</x:f>
        <x:v>2025년 4월 3일 ~ 4월 9일</x:v>
      </x:c>
      <x:c r="B100" t="str">
        <x:f>'일별 KPI·변수'!B26</x:f>
        <x:v>2025-04-07</x:v>
      </x:c>
      <x:c r="C100" t="str">
        <x:v>가스량</x:v>
      </x:c>
      <x:c r="D100" s="8" t="n">
        <x:f>'일별 KPI·변수'!O26</x:f>
        <x:v>1029244.807600972</x:v>
      </x:c>
      <x:c r="E100" s="8" t="n">
        <x:f>IF(YEAR(B28)=2024,'원가 기준'!$G$4,'원가 기준'!$G$5)</x:f>
        <x:v>1042423.4621</x:v>
      </x:c>
      <x:c r="F100" s="8" t="n">
        <x:f>D100-E100</x:f>
        <x:v>-13178.654499027994</x:v>
      </x:c>
      <x:c r="G100" s="8" t="n">
        <x:f>K100*L100</x:f>
        <x:v>90</x:v>
      </x:c>
      <x:c r="H100" s="7" t="n">
        <x:f>F28*G28</x:f>
        <x:v>550204.0730899188</x:v>
      </x:c>
      <x:c r="I100" t="str">
        <x:f>IF(H100&gt;=0,"이익","손해")</x:f>
        <x:v>이익</x:v>
      </x:c>
      <x:c r="J100" t="str">
        <x:v>KPI_U04_QTY_G01</x:v>
      </x:c>
      <x:c r="K100" t="n">
        <x:f>IF(YEAR(B28)=2024,'원가 기준'!$C$4,'원가 기준'!$C$5)</x:f>
        <x:v>300</x:v>
      </x:c>
      <x:c r="L100" t="n">
        <x:f>IF(YEAR(B28)=2024,'원가 기준'!$D$4,'원가 기준'!$D$5)</x:f>
        <x:v>0.3</x:v>
      </x:c>
      <x:c r="M100" t="str">
        <x:v>원/Nm3</x:v>
      </x:c>
      <x:c r="N100" t="str">
        <x:v>(실제-목표)×손익반영단가</x:v>
      </x:c>
    </x:row>
    <x:row r="101">
      <x:c r="A101" t="str">
        <x:f>'일별 KPI·변수'!A26</x:f>
        <x:v>2025년 4월 3일 ~ 4월 9일</x:v>
      </x:c>
      <x:c r="B101" t="str">
        <x:f>'일별 KPI·변수'!B26</x:f>
        <x:v>2025-04-07</x:v>
      </x:c>
      <x:c r="C101" t="str">
        <x:v>약품 A</x:v>
      </x:c>
      <x:c r="D101" s="8" t="n">
        <x:f>'일별 KPI·변수'!V26</x:f>
        <x:v>468.3867500529939</x:v>
      </x:c>
      <x:c r="E101" s="8" t="n">
        <x:f>'원가 기준'!$G$6</x:f>
        <x:v>497.46725</x:v>
      </x:c>
      <x:c r="F101" s="8" t="n">
        <x:f>E101-D101</x:f>
        <x:v>29.080499947006103</x:v>
      </x:c>
      <x:c r="G101" s="8" t="n">
        <x:f>K101*L101</x:f>
        <x:v>154000</x:v>
      </x:c>
      <x:c r="H101" s="7" t="n">
        <x:f>F28*G28</x:f>
        <x:v>550204.0730899188</x:v>
      </x:c>
      <x:c r="I101" t="str">
        <x:f>IF(H101&gt;=0,"이익","손해")</x:f>
        <x:v>이익</x:v>
      </x:c>
      <x:c r="J101" t="str">
        <x:v>KPI_U04_CHEM_M01</x:v>
      </x:c>
      <x:c r="K101" t="n">
        <x:f>'원가 기준'!$C$6</x:f>
        <x:v>154000</x:v>
      </x:c>
      <x:c r="L101" t="n">
        <x:f>'원가 기준'!$D$6</x:f>
        <x:v>1</x:v>
      </x:c>
      <x:c r="M101" t="str">
        <x:v>원/kg</x:v>
      </x:c>
      <x:c r="N101" t="str">
        <x:v>(목표-실제)×손익반영단가</x:v>
      </x:c>
    </x:row>
    <x:row r="102">
      <x:c r="A102" t="str">
        <x:f>'일별 KPI·변수'!A26</x:f>
        <x:v>2025년 4월 3일 ~ 4월 9일</x:v>
      </x:c>
      <x:c r="B102" t="str">
        <x:f>'일별 KPI·변수'!B26</x:f>
        <x:v>2025-04-07</x:v>
      </x:c>
      <x:c r="C102" t="str">
        <x:v>약품 B</x:v>
      </x:c>
      <x:c r="D102" s="8" t="n">
        <x:f>'일별 KPI·변수'!W26</x:f>
        <x:v>890.6800678343764</x:v>
      </x:c>
      <x:c r="E102" s="8" t="n">
        <x:f>'원가 기준'!$G$7</x:f>
        <x:v>898.13507</x:v>
      </x:c>
      <x:c r="F102" s="8" t="n">
        <x:f>E102-D102</x:f>
        <x:v>7.455002165623682</x:v>
      </x:c>
      <x:c r="G102" s="8" t="n">
        <x:f>K102*L102</x:f>
        <x:v>128000</x:v>
      </x:c>
      <x:c r="H102" s="7" t="n">
        <x:f>F28*G28</x:f>
        <x:v>550204.0730899188</x:v>
      </x:c>
      <x:c r="I102" t="str">
        <x:f>IF(H102&gt;=0,"이익","손해")</x:f>
        <x:v>이익</x:v>
      </x:c>
      <x:c r="J102" t="str">
        <x:v>KPI_U04_CHEM_M02</x:v>
      </x:c>
      <x:c r="K102" t="n">
        <x:f>'원가 기준'!$C$7</x:f>
        <x:v>128000</x:v>
      </x:c>
      <x:c r="L102" t="n">
        <x:f>'원가 기준'!$D$7</x:f>
        <x:v>1</x:v>
      </x:c>
      <x:c r="M102" t="str">
        <x:v>원/kg</x:v>
      </x:c>
      <x:c r="N102" t="str">
        <x:v>(목표-실제)×손익반영단가</x:v>
      </x:c>
    </x:row>
    <x:row r="103">
      <x:c r="A103" t="str">
        <x:f>'일별 KPI·변수'!A26</x:f>
        <x:v>2025년 4월 3일 ~ 4월 9일</x:v>
      </x:c>
      <x:c r="B103" t="str">
        <x:f>'일별 KPI·변수'!B26</x:f>
        <x:v>2025-04-07</x:v>
      </x:c>
      <x:c r="C103" t="str">
        <x:v>스팀</x:v>
      </x:c>
      <x:c r="D103" s="8" t="n">
        <x:f>'추가 변수'!B26</x:f>
        <x:v>0.2646071373672531</x:v>
      </x:c>
      <x:c r="E103" s="8" t="n">
        <x:f>IF(YEAR(B28)=2024,IF(MONTH(B28)&lt;=3,'원가 기준'!$G$8,IF(MONTH(B28)&lt;=6,'원가 기준'!$G$9,IF(MONTH(B28)&lt;=9,'원가 기준'!$G$10,'원가 기준'!$G$13))),IF(MONTH(B28)&lt;=3,'원가 기준'!$G$14,IF(MONTH(B28)&lt;=6,'원가 기준'!$G$15,'원가 기준'!$G$16)))</x:f>
        <x:v>36.4426</x:v>
      </x:c>
      <x:c r="F103" s="8" t="n">
        <x:f>E103-D103</x:f>
        <x:v>36.17799286263275</x:v>
      </x:c>
      <x:c r="G103" s="8" t="n">
        <x:f>K103*L103</x:f>
        <x:v>300</x:v>
      </x:c>
      <x:c r="H103" s="7" t="n">
        <x:f>F28*G28</x:f>
        <x:v>550204.0730899188</x:v>
      </x:c>
      <x:c r="I103" t="str">
        <x:f>IF(H103&gt;=0,"이익","손해")</x:f>
        <x:v>이익</x:v>
      </x:c>
      <x:c r="J103" t="str">
        <x:v>KPI_U04_STEAM_M01</x:v>
      </x:c>
      <x:c r="K103" t="n">
        <x:f>G28/L28</x:f>
        <x:v>300</x:v>
      </x:c>
      <x:c r="L103" t="n">
        <x:f>IF(YEAR(B28)=2024,1,1)</x:f>
        <x:v>1</x:v>
      </x:c>
      <x:c r="M103" t="str">
        <x:v>원/ton</x:v>
      </x:c>
      <x:c r="N103" t="str">
        <x:v>(목표-실제)×손익반영단가</x:v>
      </x:c>
    </x:row>
    <x:row r="104">
      <x:c r="A104" t="str">
        <x:f>'일별 KPI·변수'!A27</x:f>
        <x:v>2025년 4월 3일 ~ 4월 9일</x:v>
      </x:c>
      <x:c r="B104" t="str">
        <x:f>'일별 KPI·변수'!B27</x:f>
        <x:v>2025-04-08</x:v>
      </x:c>
      <x:c r="C104" t="str">
        <x:v>가스량</x:v>
      </x:c>
      <x:c r="D104" s="8" t="n">
        <x:f>'일별 KPI·변수'!O27</x:f>
        <x:v>1044254.833645132</x:v>
      </x:c>
      <x:c r="E104" s="8" t="n">
        <x:f>IF(YEAR(B29)=2024,'원가 기준'!$G$4,'원가 기준'!$G$5)</x:f>
        <x:v>1042423.4621</x:v>
      </x:c>
      <x:c r="F104" s="8" t="n">
        <x:f>D104-E104</x:f>
        <x:v>1831.3715451320168</x:v>
      </x:c>
      <x:c r="G104" s="8" t="n">
        <x:f>K104*L104</x:f>
        <x:v>90</x:v>
      </x:c>
      <x:c r="H104" s="7" t="n">
        <x:f>F29*G29</x:f>
        <x:v>220020.60684974468</x:v>
      </x:c>
      <x:c r="I104" t="str">
        <x:f>IF(H104&gt;=0,"이익","손해")</x:f>
        <x:v>이익</x:v>
      </x:c>
      <x:c r="J104" t="str">
        <x:v>KPI_U04_QTY_G01</x:v>
      </x:c>
      <x:c r="K104" t="n">
        <x:f>IF(YEAR(B29)=2024,'원가 기준'!$C$4,'원가 기준'!$C$5)</x:f>
        <x:v>300</x:v>
      </x:c>
      <x:c r="L104" t="n">
        <x:f>IF(YEAR(B29)=2024,'원가 기준'!$D$4,'원가 기준'!$D$5)</x:f>
        <x:v>0.3</x:v>
      </x:c>
      <x:c r="M104" t="str">
        <x:v>원/Nm3</x:v>
      </x:c>
      <x:c r="N104" t="str">
        <x:v>(실제-목표)×손익반영단가</x:v>
      </x:c>
    </x:row>
    <x:row r="105">
      <x:c r="A105" t="str">
        <x:f>'일별 KPI·변수'!A27</x:f>
        <x:v>2025년 4월 3일 ~ 4월 9일</x:v>
      </x:c>
      <x:c r="B105" t="str">
        <x:f>'일별 KPI·변수'!B27</x:f>
        <x:v>2025-04-08</x:v>
      </x:c>
      <x:c r="C105" t="str">
        <x:v>약품 A</x:v>
      </x:c>
      <x:c r="D105" s="8" t="n">
        <x:f>'일별 KPI·변수'!V27</x:f>
        <x:v>483.5128642781495</x:v>
      </x:c>
      <x:c r="E105" s="8" t="n">
        <x:f>'원가 기준'!$G$6</x:f>
        <x:v>497.46725</x:v>
      </x:c>
      <x:c r="F105" s="8" t="n">
        <x:f>E105-D105</x:f>
        <x:v>13.954385721850485</x:v>
      </x:c>
      <x:c r="G105" s="8" t="n">
        <x:f>K105*L105</x:f>
        <x:v>154000</x:v>
      </x:c>
      <x:c r="H105" s="7" t="n">
        <x:f>F29*G29</x:f>
        <x:v>220020.60684974468</x:v>
      </x:c>
      <x:c r="I105" t="str">
        <x:f>IF(H105&gt;=0,"이익","손해")</x:f>
        <x:v>이익</x:v>
      </x:c>
      <x:c r="J105" t="str">
        <x:v>KPI_U04_CHEM_M01</x:v>
      </x:c>
      <x:c r="K105" t="n">
        <x:f>'원가 기준'!$C$6</x:f>
        <x:v>154000</x:v>
      </x:c>
      <x:c r="L105" t="n">
        <x:f>'원가 기준'!$D$6</x:f>
        <x:v>1</x:v>
      </x:c>
      <x:c r="M105" t="str">
        <x:v>원/kg</x:v>
      </x:c>
      <x:c r="N105" t="str">
        <x:v>(목표-실제)×손익반영단가</x:v>
      </x:c>
    </x:row>
    <x:row r="106">
      <x:c r="A106" t="str">
        <x:f>'일별 KPI·변수'!A27</x:f>
        <x:v>2025년 4월 3일 ~ 4월 9일</x:v>
      </x:c>
      <x:c r="B106" t="str">
        <x:f>'일별 KPI·변수'!B27</x:f>
        <x:v>2025-04-08</x:v>
      </x:c>
      <x:c r="C106" t="str">
        <x:v>약품 B</x:v>
      </x:c>
      <x:c r="D106" s="8" t="n">
        <x:f>'일별 KPI·변수'!W27</x:f>
        <x:v>899.4423816021628</x:v>
      </x:c>
      <x:c r="E106" s="8" t="n">
        <x:f>'원가 기준'!$G$7</x:f>
        <x:v>898.13507</x:v>
      </x:c>
      <x:c r="F106" s="8" t="n">
        <x:f>E106-D106</x:f>
        <x:v>-1.307311602162713</x:v>
      </x:c>
      <x:c r="G106" s="8" t="n">
        <x:f>K106*L106</x:f>
        <x:v>128000</x:v>
      </x:c>
      <x:c r="H106" s="7" t="n">
        <x:f>F29*G29</x:f>
        <x:v>220020.60684974468</x:v>
      </x:c>
      <x:c r="I106" t="str">
        <x:f>IF(H106&gt;=0,"이익","손해")</x:f>
        <x:v>이익</x:v>
      </x:c>
      <x:c r="J106" t="str">
        <x:v>KPI_U04_CHEM_M02</x:v>
      </x:c>
      <x:c r="K106" t="n">
        <x:f>'원가 기준'!$C$7</x:f>
        <x:v>128000</x:v>
      </x:c>
      <x:c r="L106" t="n">
        <x:f>'원가 기준'!$D$7</x:f>
        <x:v>1</x:v>
      </x:c>
      <x:c r="M106" t="str">
        <x:v>원/kg</x:v>
      </x:c>
      <x:c r="N106" t="str">
        <x:v>(목표-실제)×손익반영단가</x:v>
      </x:c>
    </x:row>
    <x:row r="107">
      <x:c r="A107" t="str">
        <x:f>'일별 KPI·변수'!A27</x:f>
        <x:v>2025년 4월 3일 ~ 4월 9일</x:v>
      </x:c>
      <x:c r="B107" t="str">
        <x:f>'일별 KPI·변수'!B27</x:f>
        <x:v>2025-04-08</x:v>
      </x:c>
      <x:c r="C107" t="str">
        <x:v>스팀</x:v>
      </x:c>
      <x:c r="D107" s="8" t="n">
        <x:f>'추가 변수'!B27</x:f>
        <x:v>0.2565596444676062</x:v>
      </x:c>
      <x:c r="E107" s="8" t="n">
        <x:f>IF(YEAR(B29)=2024,IF(MONTH(B29)&lt;=3,'원가 기준'!$G$8,IF(MONTH(B29)&lt;=6,'원가 기준'!$G$9,IF(MONTH(B29)&lt;=9,'원가 기준'!$G$10,'원가 기준'!$G$13))),IF(MONTH(B29)&lt;=3,'원가 기준'!$G$14,IF(MONTH(B29)&lt;=6,'원가 기준'!$G$15,'원가 기준'!$G$16)))</x:f>
        <x:v>36.4426</x:v>
      </x:c>
      <x:c r="F107" s="8" t="n">
        <x:f>E107-D107</x:f>
        <x:v>36.18604035553239</x:v>
      </x:c>
      <x:c r="G107" s="8" t="n">
        <x:f>K107*L107</x:f>
        <x:v>154000</x:v>
      </x:c>
      <x:c r="H107" s="7" t="n">
        <x:f>F29*G29</x:f>
        <x:v>220020.60684974468</x:v>
      </x:c>
      <x:c r="I107" t="str">
        <x:f>IF(H107&gt;=0,"이익","손해")</x:f>
        <x:v>이익</x:v>
      </x:c>
      <x:c r="J107" t="str">
        <x:v>KPI_U04_STEAM_M01</x:v>
      </x:c>
      <x:c r="K107" t="n">
        <x:f>G29/L29</x:f>
        <x:v>154000</x:v>
      </x:c>
      <x:c r="L107" t="n">
        <x:f>IF(YEAR(B29)=2024,1,1)</x:f>
        <x:v>1</x:v>
      </x:c>
      <x:c r="M107" t="str">
        <x:v>원/ton</x:v>
      </x:c>
      <x:c r="N107" t="str">
        <x:v>(목표-실제)×손익반영단가</x:v>
      </x:c>
    </x:row>
    <x:row r="108">
      <x:c r="A108" t="str">
        <x:f>'일별 KPI·변수'!A28</x:f>
        <x:v>2025년 4월 3일 ~ 4월 9일</x:v>
      </x:c>
      <x:c r="B108" t="str">
        <x:f>'일별 KPI·변수'!B28</x:f>
        <x:v>2025-04-09</x:v>
      </x:c>
      <x:c r="C108" t="str">
        <x:v>가스량</x:v>
      </x:c>
      <x:c r="D108" s="8" t="n">
        <x:f>'일별 KPI·변수'!O28</x:f>
        <x:v>1042083.514227023</x:v>
      </x:c>
      <x:c r="E108" s="8" t="n">
        <x:f>IF(YEAR(B30)=2024,'원가 기준'!$G$4,'원가 기준'!$G$5)</x:f>
        <x:v>1042423.4621</x:v>
      </x:c>
      <x:c r="F108" s="8" t="n">
        <x:f>D108-E108</x:f>
        <x:v>-339.9478729770053</x:v>
      </x:c>
      <x:c r="G108" s="8" t="n">
        <x:f>K108*L108</x:f>
        <x:v>90</x:v>
      </x:c>
      <x:c r="H108" s="7" t="n">
        <x:f>F30*G30</x:f>
        <x:v>813289.024762722</x:v>
      </x:c>
      <x:c r="I108" t="str">
        <x:f>IF(H108&gt;=0,"이익","손해")</x:f>
        <x:v>이익</x:v>
      </x:c>
      <x:c r="J108" t="str">
        <x:v>KPI_U04_QTY_G01</x:v>
      </x:c>
      <x:c r="K108" t="n">
        <x:f>IF(YEAR(B30)=2024,'원가 기준'!$C$4,'원가 기준'!$C$5)</x:f>
        <x:v>300</x:v>
      </x:c>
      <x:c r="L108" t="n">
        <x:f>IF(YEAR(B30)=2024,'원가 기준'!$D$4,'원가 기준'!$D$5)</x:f>
        <x:v>0.3</x:v>
      </x:c>
      <x:c r="M108" t="str">
        <x:v>원/Nm3</x:v>
      </x:c>
      <x:c r="N108" t="str">
        <x:v>(실제-목표)×손익반영단가</x:v>
      </x:c>
    </x:row>
    <x:row r="109">
      <x:c r="A109" t="str">
        <x:f>'일별 KPI·변수'!A28</x:f>
        <x:v>2025년 4월 3일 ~ 4월 9일</x:v>
      </x:c>
      <x:c r="B109" t="str">
        <x:f>'일별 KPI·변수'!B28</x:f>
        <x:v>2025-04-09</x:v>
      </x:c>
      <x:c r="C109" t="str">
        <x:v>약품 A</x:v>
      </x:c>
      <x:c r="D109" s="8" t="n">
        <x:f>'일별 KPI·변수'!V28</x:f>
        <x:v>486.6822895305398</x:v>
      </x:c>
      <x:c r="E109" s="8" t="n">
        <x:f>'원가 기준'!$G$6</x:f>
        <x:v>497.46725</x:v>
      </x:c>
      <x:c r="F109" s="8" t="n">
        <x:f>E109-D109</x:f>
        <x:v>10.784960469460202</x:v>
      </x:c>
      <x:c r="G109" s="8" t="n">
        <x:f>K109*L109</x:f>
        <x:v>154000</x:v>
      </x:c>
      <x:c r="H109" s="7" t="n">
        <x:f>F30*G30</x:f>
        <x:v>813289.024762722</x:v>
      </x:c>
      <x:c r="I109" t="str">
        <x:f>IF(H109&gt;=0,"이익","손해")</x:f>
        <x:v>이익</x:v>
      </x:c>
      <x:c r="J109" t="str">
        <x:v>KPI_U04_CHEM_M01</x:v>
      </x:c>
      <x:c r="K109" t="n">
        <x:f>'원가 기준'!$C$6</x:f>
        <x:v>154000</x:v>
      </x:c>
      <x:c r="L109" t="n">
        <x:f>'원가 기준'!$D$6</x:f>
        <x:v>1</x:v>
      </x:c>
      <x:c r="M109" t="str">
        <x:v>원/kg</x:v>
      </x:c>
      <x:c r="N109" t="str">
        <x:v>(목표-실제)×손익반영단가</x:v>
      </x:c>
    </x:row>
    <x:row r="110">
      <x:c r="A110" t="str">
        <x:f>'일별 KPI·변수'!A28</x:f>
        <x:v>2025년 4월 3일 ~ 4월 9일</x:v>
      </x:c>
      <x:c r="B110" t="str">
        <x:f>'일별 KPI·변수'!B28</x:f>
        <x:v>2025-04-09</x:v>
      </x:c>
      <x:c r="C110" t="str">
        <x:v>약품 B</x:v>
      </x:c>
      <x:c r="D110" s="8" t="n">
        <x:f>'일별 KPI·변수'!W28</x:f>
        <x:v>886.6757204855124</x:v>
      </x:c>
      <x:c r="E110" s="8" t="n">
        <x:f>'원가 기준'!$G$7</x:f>
        <x:v>898.13507</x:v>
      </x:c>
      <x:c r="F110" s="8" t="n">
        <x:f>E110-D110</x:f>
        <x:v>11.459349514487599</x:v>
      </x:c>
      <x:c r="G110" s="8" t="n">
        <x:f>K110*L110</x:f>
        <x:v>128000</x:v>
      </x:c>
      <x:c r="H110" s="7" t="n">
        <x:f>F30*G30</x:f>
        <x:v>813289.024762722</x:v>
      </x:c>
      <x:c r="I110" t="str">
        <x:f>IF(H110&gt;=0,"이익","손해")</x:f>
        <x:v>이익</x:v>
      </x:c>
      <x:c r="J110" t="str">
        <x:v>KPI_U04_CHEM_M02</x:v>
      </x:c>
      <x:c r="K110" t="n">
        <x:f>'원가 기준'!$C$7</x:f>
        <x:v>128000</x:v>
      </x:c>
      <x:c r="L110" t="n">
        <x:f>'원가 기준'!$D$7</x:f>
        <x:v>1</x:v>
      </x:c>
      <x:c r="M110" t="str">
        <x:v>원/kg</x:v>
      </x:c>
      <x:c r="N110" t="str">
        <x:v>(목표-실제)×손익반영단가</x:v>
      </x:c>
    </x:row>
    <x:row r="111">
      <x:c r="A111" t="str">
        <x:f>'일별 KPI·변수'!A28</x:f>
        <x:v>2025년 4월 3일 ~ 4월 9일</x:v>
      </x:c>
      <x:c r="B111" t="str">
        <x:f>'일별 KPI·변수'!B28</x:f>
        <x:v>2025-04-09</x:v>
      </x:c>
      <x:c r="C111" t="str">
        <x:v>스팀</x:v>
      </x:c>
      <x:c r="D111" s="8" t="n">
        <x:f>'추가 변수'!B28</x:f>
        <x:v>0.254251085970122</x:v>
      </x:c>
      <x:c r="E111" s="8" t="n">
        <x:f>IF(YEAR(B30)=2024,IF(MONTH(B30)&lt;=3,'원가 기준'!$G$8,IF(MONTH(B30)&lt;=6,'원가 기준'!$G$9,IF(MONTH(B30)&lt;=9,'원가 기준'!$G$10,'원가 기준'!$G$13))),IF(MONTH(B30)&lt;=3,'원가 기준'!$G$14,IF(MONTH(B30)&lt;=6,'원가 기준'!$G$15,'원가 기준'!$G$16)))</x:f>
        <x:v>36.4426</x:v>
      </x:c>
      <x:c r="F111" s="8" t="n">
        <x:f>E111-D111</x:f>
        <x:v>36.18834891402987</x:v>
      </x:c>
      <x:c r="G111" s="8" t="n">
        <x:f>K111*L111</x:f>
        <x:v>128000</x:v>
      </x:c>
      <x:c r="H111" s="7" t="n">
        <x:f>F30*G30</x:f>
        <x:v>813289.024762722</x:v>
      </x:c>
      <x:c r="I111" t="str">
        <x:f>IF(H111&gt;=0,"이익","손해")</x:f>
        <x:v>이익</x:v>
      </x:c>
      <x:c r="J111" t="str">
        <x:v>KPI_U04_STEAM_M01</x:v>
      </x:c>
      <x:c r="K111" t="n">
        <x:f>G30/L30</x:f>
        <x:v>128000</x:v>
      </x:c>
      <x:c r="L111" t="n">
        <x:f>IF(YEAR(B30)=2024,1,1)</x:f>
        <x:v>1</x:v>
      </x:c>
      <x:c r="M111" t="str">
        <x:v>원/ton</x:v>
      </x:c>
      <x:c r="N111" t="str">
        <x:v>(목표-실제)×손익반영단가</x:v>
      </x:c>
    </x:row>
    <x:row r="112">
      <x:c r="A112" t="str">
        <x:f>'일별 KPI·변수'!A29</x:f>
        <x:v>2025년 09월 21일</x:v>
      </x:c>
      <x:c r="B112" t="str">
        <x:f>'일별 KPI·변수'!B29</x:f>
        <x:v>2025-09-21</x:v>
      </x:c>
      <x:c r="C112" t="str">
        <x:v>가스량</x:v>
      </x:c>
      <x:c r="D112" s="8" t="n">
        <x:f>'일별 KPI·변수'!O29</x:f>
        <x:v>1063514.977588905</x:v>
      </x:c>
      <x:c r="E112" s="8" t="n">
        <x:f>IF(YEAR(B31)=2024,'원가 기준'!$G$4,'원가 기준'!$G$5)</x:f>
        <x:v>1042423.4621</x:v>
      </x:c>
      <x:c r="F112" s="8" t="n">
        <x:f>D112-E112</x:f>
        <x:v>21091.515488905017</x:v>
      </x:c>
      <x:c r="G112" s="8" t="n">
        <x:f>K112*L112</x:f>
        <x:v>90</x:v>
      </x:c>
      <x:c r="H112" s="7" t="n">
        <x:f>F31*G31</x:f>
        <x:v>4632376.399943917</x:v>
      </x:c>
      <x:c r="I112" t="str">
        <x:f>IF(H112&gt;=0,"이익","손해")</x:f>
        <x:v>이익</x:v>
      </x:c>
      <x:c r="J112" t="str">
        <x:v>KPI_U04_QTY_G01</x:v>
      </x:c>
      <x:c r="K112" t="n">
        <x:f>IF(YEAR(B31)=2024,'원가 기준'!$C$4,'원가 기준'!$C$5)</x:f>
        <x:v>300</x:v>
      </x:c>
      <x:c r="L112" t="n">
        <x:f>IF(YEAR(B31)=2024,'원가 기준'!$D$4,'원가 기준'!$D$5)</x:f>
        <x:v>0.3</x:v>
      </x:c>
      <x:c r="M112" t="str">
        <x:v>원/Nm3</x:v>
      </x:c>
      <x:c r="N112" t="str">
        <x:v>(실제-목표)×손익반영단가</x:v>
      </x:c>
    </x:row>
    <x:row r="113">
      <x:c r="A113" t="str">
        <x:f>'일별 KPI·변수'!A29</x:f>
        <x:v>2025년 09월 21일</x:v>
      </x:c>
      <x:c r="B113" t="str">
        <x:f>'일별 KPI·변수'!B29</x:f>
        <x:v>2025-09-21</x:v>
      </x:c>
      <x:c r="C113" t="str">
        <x:v>약품 A</x:v>
      </x:c>
      <x:c r="D113" s="8" t="n">
        <x:f>'일별 KPI·변수'!V29</x:f>
        <x:v>495.3332499016522</x:v>
      </x:c>
      <x:c r="E113" s="8" t="n">
        <x:f>'원가 기준'!$G$6</x:f>
        <x:v>497.46725</x:v>
      </x:c>
      <x:c r="F113" s="8" t="n">
        <x:f>E113-D113</x:f>
        <x:v>2.1340000983477694</x:v>
      </x:c>
      <x:c r="G113" s="8" t="n">
        <x:f>K113*L113</x:f>
        <x:v>154000</x:v>
      </x:c>
      <x:c r="H113" s="7" t="n">
        <x:f>F31*G31</x:f>
        <x:v>4632376.399943917</x:v>
      </x:c>
      <x:c r="I113" t="str">
        <x:f>IF(H113&gt;=0,"이익","손해")</x:f>
        <x:v>이익</x:v>
      </x:c>
      <x:c r="J113" t="str">
        <x:v>KPI_U04_CHEM_M01</x:v>
      </x:c>
      <x:c r="K113" t="n">
        <x:f>'원가 기준'!$C$6</x:f>
        <x:v>154000</x:v>
      </x:c>
      <x:c r="L113" t="n">
        <x:f>'원가 기준'!$D$6</x:f>
        <x:v>1</x:v>
      </x:c>
      <x:c r="M113" t="str">
        <x:v>원/kg</x:v>
      </x:c>
      <x:c r="N113" t="str">
        <x:v>(목표-실제)×손익반영단가</x:v>
      </x:c>
    </x:row>
    <x:row r="114">
      <x:c r="A114" t="str">
        <x:f>'일별 KPI·변수'!A29</x:f>
        <x:v>2025년 09월 21일</x:v>
      </x:c>
      <x:c r="B114" t="str">
        <x:f>'일별 KPI·변수'!B29</x:f>
        <x:v>2025-09-21</x:v>
      </x:c>
      <x:c r="C114" t="str">
        <x:v>약품 B</x:v>
      </x:c>
      <x:c r="D114" s="8" t="n">
        <x:f>'일별 KPI·변수'!W29</x:f>
        <x:v>899.8813490695666</x:v>
      </x:c>
      <x:c r="E114" s="8" t="n">
        <x:f>'원가 기준'!$G$7</x:f>
        <x:v>898.13507</x:v>
      </x:c>
      <x:c r="F114" s="8" t="n">
        <x:f>E114-D114</x:f>
        <x:v>-1.7462790695665262</x:v>
      </x:c>
      <x:c r="G114" s="8" t="n">
        <x:f>K114*L114</x:f>
        <x:v>128000</x:v>
      </x:c>
      <x:c r="H114" s="7" t="n">
        <x:f>F31*G31</x:f>
        <x:v>4632376.399943917</x:v>
      </x:c>
      <x:c r="I114" t="str">
        <x:f>IF(H114&gt;=0,"이익","손해")</x:f>
        <x:v>이익</x:v>
      </x:c>
      <x:c r="J114" t="str">
        <x:v>KPI_U04_CHEM_M02</x:v>
      </x:c>
      <x:c r="K114" t="n">
        <x:f>'원가 기준'!$C$7</x:f>
        <x:v>128000</x:v>
      </x:c>
      <x:c r="L114" t="n">
        <x:f>'원가 기준'!$D$7</x:f>
        <x:v>1</x:v>
      </x:c>
      <x:c r="M114" t="str">
        <x:v>원/kg</x:v>
      </x:c>
      <x:c r="N114" t="str">
        <x:v>(목표-실제)×손익반영단가</x:v>
      </x:c>
    </x:row>
    <x:row r="115">
      <x:c r="A115" t="str">
        <x:f>'일별 KPI·변수'!A29</x:f>
        <x:v>2025년 09월 21일</x:v>
      </x:c>
      <x:c r="B115" t="str">
        <x:f>'일별 KPI·변수'!B29</x:f>
        <x:v>2025-09-21</x:v>
      </x:c>
      <x:c r="C115" t="str">
        <x:v>스팀</x:v>
      </x:c>
      <x:c r="D115" s="8" t="n">
        <x:f>'추가 변수'!B29</x:f>
        <x:v>0.2533552678785391</x:v>
      </x:c>
      <x:c r="E115" s="8" t="n">
        <x:f>IF(YEAR(B31)=2024,IF(MONTH(B31)&lt;=3,'원가 기준'!$G$8,IF(MONTH(B31)&lt;=6,'원가 기준'!$G$9,IF(MONTH(B31)&lt;=9,'원가 기준'!$G$10,'원가 기준'!$G$13))),IF(MONTH(B31)&lt;=3,'원가 기준'!$G$14,IF(MONTH(B31)&lt;=6,'원가 기준'!$G$15,'원가 기준'!$G$16)))</x:f>
        <x:v>36.4426</x:v>
      </x:c>
      <x:c r="F115" s="8" t="n">
        <x:f>E115-D115</x:f>
        <x:v>36.18924473212146</x:v>
      </x:c>
      <x:c r="G115" s="8" t="n">
        <x:f>K115*L115</x:f>
        <x:v>128000</x:v>
      </x:c>
      <x:c r="H115" s="7" t="n">
        <x:f>F31*G31</x:f>
        <x:v>4632376.399943917</x:v>
      </x:c>
      <x:c r="I115" t="str">
        <x:f>IF(H115&gt;=0,"이익","손해")</x:f>
        <x:v>이익</x:v>
      </x:c>
      <x:c r="J115" t="str">
        <x:v>KPI_U04_STEAM_M01</x:v>
      </x:c>
      <x:c r="K115" t="n">
        <x:f>G31/L31</x:f>
        <x:v>128000</x:v>
      </x:c>
      <x:c r="L115" t="n">
        <x:f>IF(YEAR(B31)=2024,1,1)</x:f>
        <x:v>1</x:v>
      </x:c>
      <x:c r="M115" t="str">
        <x:v>원/ton</x:v>
      </x:c>
      <x:c r="N115" t="str">
        <x:v>(목표-실제)×손익반영단가</x:v>
      </x:c>
    </x:row>
    <x:row r="116">
      <x:c r="A116" t="str">
        <x:f>'일별 KPI·변수'!A30</x:f>
        <x:v>2025.06.15</x:v>
      </x:c>
      <x:c r="B116" t="str">
        <x:f>'일별 KPI·변수'!B30</x:f>
        <x:v>2025-06-15</x:v>
      </x:c>
      <x:c r="C116" t="str">
        <x:v>가스량</x:v>
      </x:c>
      <x:c r="D116" s="8" t="n">
        <x:f>'일별 KPI·변수'!O30</x:f>
        <x:v>1036761.533737434</x:v>
      </x:c>
      <x:c r="E116" s="8" t="n">
        <x:f>IF(YEAR(B32)=2024,'원가 기준'!$G$4,'원가 기준'!$G$5)</x:f>
        <x:v>1042423.4621</x:v>
      </x:c>
      <x:c r="F116" s="8" t="n">
        <x:f>D116-E116</x:f>
        <x:v>-5661.928362566046</x:v>
      </x:c>
      <x:c r="G116" s="8" t="n">
        <x:f>K116*L116</x:f>
        <x:v>90</x:v>
      </x:c>
      <x:c r="H116" s="7" t="n">
        <x:f>F32*G32</x:f>
        <x:v>-980683.5903013812</x:v>
      </x:c>
      <x:c r="I116" t="str">
        <x:f>IF(H116&gt;=0,"이익","손해")</x:f>
        <x:v>손해</x:v>
      </x:c>
      <x:c r="J116" t="str">
        <x:v>KPI_U04_QTY_G01</x:v>
      </x:c>
      <x:c r="K116" t="n">
        <x:f>IF(YEAR(B32)=2024,'원가 기준'!$C$4,'원가 기준'!$C$5)</x:f>
        <x:v>300</x:v>
      </x:c>
      <x:c r="L116" t="n">
        <x:f>IF(YEAR(B32)=2024,'원가 기준'!$D$4,'원가 기준'!$D$5)</x:f>
        <x:v>0.3</x:v>
      </x:c>
      <x:c r="M116" t="str">
        <x:v>원/Nm3</x:v>
      </x:c>
      <x:c r="N116" t="str">
        <x:v>(실제-목표)×손익반영단가</x:v>
      </x:c>
    </x:row>
    <x:row r="117">
      <x:c r="A117" t="str">
        <x:f>'일별 KPI·변수'!A30</x:f>
        <x:v>2025.06.15</x:v>
      </x:c>
      <x:c r="B117" t="str">
        <x:f>'일별 KPI·변수'!B30</x:f>
        <x:v>2025-06-15</x:v>
      </x:c>
      <x:c r="C117" t="str">
        <x:v>약품 A</x:v>
      </x:c>
      <x:c r="D117" s="8" t="n">
        <x:f>'일별 KPI·변수'!V30</x:f>
        <x:v>496.8012175073888</x:v>
      </x:c>
      <x:c r="E117" s="8" t="n">
        <x:f>'원가 기준'!$G$6</x:f>
        <x:v>497.46725</x:v>
      </x:c>
      <x:c r="F117" s="8" t="n">
        <x:f>E117-D117</x:f>
        <x:v>0.6660324926111798</x:v>
      </x:c>
      <x:c r="G117" s="8" t="n">
        <x:f>K117*L117</x:f>
        <x:v>154000</x:v>
      </x:c>
      <x:c r="H117" s="7" t="n">
        <x:f>F32*G32</x:f>
        <x:v>-980683.5903013812</x:v>
      </x:c>
      <x:c r="I117" t="str">
        <x:f>IF(H117&gt;=0,"이익","손해")</x:f>
        <x:v>손해</x:v>
      </x:c>
      <x:c r="J117" t="str">
        <x:v>KPI_U04_CHEM_M01</x:v>
      </x:c>
      <x:c r="K117" t="n">
        <x:f>'원가 기준'!$C$6</x:f>
        <x:v>154000</x:v>
      </x:c>
      <x:c r="L117" t="n">
        <x:f>'원가 기준'!$D$6</x:f>
        <x:v>1</x:v>
      </x:c>
      <x:c r="M117" t="str">
        <x:v>원/kg</x:v>
      </x:c>
      <x:c r="N117" t="str">
        <x:v>(목표-실제)×손익반영단가</x:v>
      </x:c>
    </x:row>
    <x:row r="118">
      <x:c r="A118" t="str">
        <x:f>'일별 KPI·변수'!A30</x:f>
        <x:v>2025.06.15</x:v>
      </x:c>
      <x:c r="B118" t="str">
        <x:f>'일별 KPI·변수'!B30</x:f>
        <x:v>2025-06-15</x:v>
      </x:c>
      <x:c r="C118" t="str">
        <x:v>약품 B</x:v>
      </x:c>
      <x:c r="D118" s="8" t="n">
        <x:f>'일별 KPI·변수'!W30</x:f>
        <x:v>897.0276865630493</x:v>
      </x:c>
      <x:c r="E118" s="8" t="n">
        <x:f>'원가 기준'!$G$7</x:f>
        <x:v>898.13507</x:v>
      </x:c>
      <x:c r="F118" s="8" t="n">
        <x:f>E118-D118</x:f>
        <x:v>1.1073834369507267</x:v>
      </x:c>
      <x:c r="G118" s="8" t="n">
        <x:f>K118*L118</x:f>
        <x:v>128000</x:v>
      </x:c>
      <x:c r="H118" s="7" t="n">
        <x:f>F32*G32</x:f>
        <x:v>-980683.5903013812</x:v>
      </x:c>
      <x:c r="I118" t="str">
        <x:f>IF(H118&gt;=0,"이익","손해")</x:f>
        <x:v>손해</x:v>
      </x:c>
      <x:c r="J118" t="str">
        <x:v>KPI_U04_CHEM_M02</x:v>
      </x:c>
      <x:c r="K118" t="n">
        <x:f>'원가 기준'!$C$7</x:f>
        <x:v>128000</x:v>
      </x:c>
      <x:c r="L118" t="n">
        <x:f>'원가 기준'!$D$7</x:f>
        <x:v>1</x:v>
      </x:c>
      <x:c r="M118" t="str">
        <x:v>원/kg</x:v>
      </x:c>
      <x:c r="N118" t="str">
        <x:v>(목표-실제)×손익반영단가</x:v>
      </x:c>
    </x:row>
    <x:row r="119">
      <x:c r="A119" t="str">
        <x:f>'일별 KPI·변수'!A30</x:f>
        <x:v>2025.06.15</x:v>
      </x:c>
      <x:c r="B119" t="str">
        <x:f>'일별 KPI·변수'!B30</x:f>
        <x:v>2025-06-15</x:v>
      </x:c>
      <x:c r="C119" t="str">
        <x:v>스팀</x:v>
      </x:c>
      <x:c r="D119" s="8" t="n">
        <x:f>'추가 변수'!B30</x:f>
        <x:v>0.2495314392631781</x:v>
      </x:c>
      <x:c r="E119" s="8" t="n">
        <x:f>IF(YEAR(B32)=2024,IF(MONTH(B32)&lt;=3,'원가 기준'!$G$8,IF(MONTH(B32)&lt;=6,'원가 기준'!$G$9,IF(MONTH(B32)&lt;=9,'원가 기준'!$G$10,'원가 기준'!$G$13))),IF(MONTH(B32)&lt;=3,'원가 기준'!$G$14,IF(MONTH(B32)&lt;=6,'원가 기준'!$G$15,'원가 기준'!$G$16)))</x:f>
        <x:v>36.4426</x:v>
      </x:c>
      <x:c r="F119" s="8" t="n">
        <x:f>E119-D119</x:f>
        <x:v>36.19306856073682</x:v>
      </x:c>
      <x:c r="G119" s="8" t="n">
        <x:f>K119*L119</x:f>
        <x:v>300</x:v>
      </x:c>
      <x:c r="H119" s="7" t="n">
        <x:f>F32*G32</x:f>
        <x:v>-980683.5903013812</x:v>
      </x:c>
      <x:c r="I119" t="str">
        <x:f>IF(H119&gt;=0,"이익","손해")</x:f>
        <x:v>손해</x:v>
      </x:c>
      <x:c r="J119" t="str">
        <x:v>KPI_U04_STEAM_M01</x:v>
      </x:c>
      <x:c r="K119" t="n">
        <x:f>G32/L32</x:f>
        <x:v>300</x:v>
      </x:c>
      <x:c r="L119" t="n">
        <x:f>IF(YEAR(B32)=2024,1,1)</x:f>
        <x:v>1</x:v>
      </x:c>
      <x:c r="M119" t="str">
        <x:v>원/ton</x:v>
      </x:c>
      <x:c r="N119" t="str">
        <x:v>(목표-실제)×손익반영단가</x:v>
      </x:c>
    </x:row>
    <x:row r="120">
      <x:c r="A120" t="str">
        <x:f>'일별 KPI·변수'!A31</x:f>
        <x:v>2025.02.11</x:v>
      </x:c>
      <x:c r="B120" t="str">
        <x:f>'일별 KPI·변수'!B31</x:f>
        <x:v>2025-02-11</x:v>
      </x:c>
      <x:c r="C120" t="str">
        <x:v>가스량</x:v>
      </x:c>
      <x:c r="D120" s="8" t="n">
        <x:f>'일별 KPI·변수'!O31</x:f>
        <x:v>1028965.497344934</x:v>
      </x:c>
      <x:c r="E120" s="8" t="n">
        <x:f>IF(YEAR(B33)=2024,'원가 기준'!$G$4,'원가 기준'!$G$5)</x:f>
        <x:v>1042423.4621</x:v>
      </x:c>
      <x:c r="F120" s="8" t="n">
        <x:f>D120-E120</x:f>
        <x:v>-13457.964755065972</x:v>
      </x:c>
      <x:c r="G120" s="8" t="n">
        <x:f>K120*L120</x:f>
        <x:v>90</x:v>
      </x:c>
      <x:c r="H120" s="7" t="n">
        <x:f>F33*G33</x:f>
        <x:v>2193058.733499227</x:v>
      </x:c>
      <x:c r="I120" t="str">
        <x:f>IF(H120&gt;=0,"이익","손해")</x:f>
        <x:v>이익</x:v>
      </x:c>
      <x:c r="J120" t="str">
        <x:v>KPI_U04_QTY_G01</x:v>
      </x:c>
      <x:c r="K120" t="n">
        <x:f>IF(YEAR(B33)=2024,'원가 기준'!$C$4,'원가 기준'!$C$5)</x:f>
        <x:v>300</x:v>
      </x:c>
      <x:c r="L120" t="n">
        <x:f>IF(YEAR(B33)=2024,'원가 기준'!$D$4,'원가 기준'!$D$5)</x:f>
        <x:v>0.3</x:v>
      </x:c>
      <x:c r="M120" t="str">
        <x:v>원/Nm3</x:v>
      </x:c>
      <x:c r="N120" t="str">
        <x:v>(실제-목표)×손익반영단가</x:v>
      </x:c>
    </x:row>
    <x:row r="121">
      <x:c r="A121" t="str">
        <x:f>'일별 KPI·변수'!A31</x:f>
        <x:v>2025.02.11</x:v>
      </x:c>
      <x:c r="B121" t="str">
        <x:f>'일별 KPI·변수'!B31</x:f>
        <x:v>2025-02-11</x:v>
      </x:c>
      <x:c r="C121" t="str">
        <x:v>약품 A</x:v>
      </x:c>
      <x:c r="D121" s="8" t="n">
        <x:f>'일별 KPI·변수'!V31</x:f>
        <x:v>491.0741452597044</x:v>
      </x:c>
      <x:c r="E121" s="8" t="n">
        <x:f>'원가 기준'!$G$6</x:f>
        <x:v>497.46725</x:v>
      </x:c>
      <x:c r="F121" s="8" t="n">
        <x:f>E121-D121</x:f>
        <x:v>6.393104740295598</x:v>
      </x:c>
      <x:c r="G121" s="8" t="n">
        <x:f>K121*L121</x:f>
        <x:v>154000</x:v>
      </x:c>
      <x:c r="H121" s="7" t="n">
        <x:f>F33*G33</x:f>
        <x:v>2193058.733499227</x:v>
      </x:c>
      <x:c r="I121" t="str">
        <x:f>IF(H121&gt;=0,"이익","손해")</x:f>
        <x:v>이익</x:v>
      </x:c>
      <x:c r="J121" t="str">
        <x:v>KPI_U04_CHEM_M01</x:v>
      </x:c>
      <x:c r="K121" t="n">
        <x:f>'원가 기준'!$C$6</x:f>
        <x:v>154000</x:v>
      </x:c>
      <x:c r="L121" t="n">
        <x:f>'원가 기준'!$D$6</x:f>
        <x:v>1</x:v>
      </x:c>
      <x:c r="M121" t="str">
        <x:v>원/kg</x:v>
      </x:c>
      <x:c r="N121" t="str">
        <x:v>(목표-실제)×손익반영단가</x:v>
      </x:c>
    </x:row>
    <x:row r="122">
      <x:c r="A122" t="str">
        <x:f>'일별 KPI·변수'!A31</x:f>
        <x:v>2025.02.11</x:v>
      </x:c>
      <x:c r="B122" t="str">
        <x:f>'일별 KPI·변수'!B31</x:f>
        <x:v>2025-02-11</x:v>
      </x:c>
      <x:c r="C122" t="str">
        <x:v>약품 B</x:v>
      </x:c>
      <x:c r="D122" s="8" t="n">
        <x:f>'일별 KPI·변수'!W31</x:f>
        <x:v>877.9296965434368</x:v>
      </x:c>
      <x:c r="E122" s="8" t="n">
        <x:f>'원가 기준'!$G$7</x:f>
        <x:v>898.13507</x:v>
      </x:c>
      <x:c r="F122" s="8" t="n">
        <x:f>E122-D122</x:f>
        <x:v>20.20537345656328</x:v>
      </x:c>
      <x:c r="G122" s="8" t="n">
        <x:f>K122*L122</x:f>
        <x:v>128000</x:v>
      </x:c>
      <x:c r="H122" s="7" t="n">
        <x:f>F33*G33</x:f>
        <x:v>2193058.733499227</x:v>
      </x:c>
      <x:c r="I122" t="str">
        <x:f>IF(H122&gt;=0,"이익","손해")</x:f>
        <x:v>이익</x:v>
      </x:c>
      <x:c r="J122" t="str">
        <x:v>KPI_U04_CHEM_M02</x:v>
      </x:c>
      <x:c r="K122" t="n">
        <x:f>'원가 기준'!$C$7</x:f>
        <x:v>128000</x:v>
      </x:c>
      <x:c r="L122" t="n">
        <x:f>'원가 기준'!$D$7</x:f>
        <x:v>1</x:v>
      </x:c>
      <x:c r="M122" t="str">
        <x:v>원/kg</x:v>
      </x:c>
      <x:c r="N122" t="str">
        <x:v>(목표-실제)×손익반영단가</x:v>
      </x:c>
    </x:row>
    <x:row r="123">
      <x:c r="A123" t="str">
        <x:f>'일별 KPI·변수'!A31</x:f>
        <x:v>2025.02.11</x:v>
      </x:c>
      <x:c r="B123" t="str">
        <x:f>'일별 KPI·변수'!B31</x:f>
        <x:v>2025-02-11</x:v>
      </x:c>
      <x:c r="C123" t="str">
        <x:v>스팀</x:v>
      </x:c>
      <x:c r="D123" s="8" t="n">
        <x:f>'추가 변수'!B31</x:f>
        <x:v>0.254688733679017</x:v>
      </x:c>
      <x:c r="E123" s="8" t="n">
        <x:f>IF(YEAR(B33)=2024,IF(MONTH(B33)&lt;=3,'원가 기준'!$G$8,IF(MONTH(B33)&lt;=6,'원가 기준'!$G$9,IF(MONTH(B33)&lt;=9,'원가 기준'!$G$10,'원가 기준'!$G$13))),IF(MONTH(B33)&lt;=3,'원가 기준'!$G$14,IF(MONTH(B33)&lt;=6,'원가 기준'!$G$15,'원가 기준'!$G$16)))</x:f>
        <x:v>36.4426</x:v>
      </x:c>
      <x:c r="F123" s="8" t="n">
        <x:f>E123-D123</x:f>
        <x:v>36.18791126632098</x:v>
      </x:c>
      <x:c r="G123" s="8" t="n">
        <x:f>K123*L123</x:f>
        <x:v>154000</x:v>
      </x:c>
      <x:c r="H123" s="7" t="n">
        <x:f>F33*G33</x:f>
        <x:v>2193058.733499227</x:v>
      </x:c>
      <x:c r="I123" t="str">
        <x:f>IF(H123&gt;=0,"이익","손해")</x:f>
        <x:v>이익</x:v>
      </x:c>
      <x:c r="J123" t="str">
        <x:v>KPI_U04_STEAM_M01</x:v>
      </x:c>
      <x:c r="K123" t="n">
        <x:f>G33/L33</x:f>
        <x:v>154000</x:v>
      </x:c>
      <x:c r="L123" t="n">
        <x:f>IF(YEAR(B33)=2024,1,1)</x:f>
        <x:v>1</x:v>
      </x:c>
      <x:c r="M123" t="str">
        <x:v>원/ton</x:v>
      </x:c>
      <x:c r="N123" t="str">
        <x:v>(목표-실제)×손익반영단가</x:v>
      </x:c>
    </x:row>
    <x:row r="124">
      <x:c r="A124" t="str">
        <x:f>'일별 KPI·변수'!A32</x:f>
        <x:v>2024.10.11 ~ 10.15</x:v>
      </x:c>
      <x:c r="B124" t="str">
        <x:f>'일별 KPI·변수'!B32</x:f>
        <x:v>2024-10-11</x:v>
      </x:c>
      <x:c r="C124" t="str">
        <x:v>가스량</x:v>
      </x:c>
      <x:c r="D124" s="8" t="n">
        <x:f>'일별 KPI·변수'!O32</x:f>
        <x:v>1074681.285984773</x:v>
      </x:c>
      <x:c r="E124" s="8" t="n">
        <x:f>IF(YEAR(B34)=2024,'원가 기준'!$G$4,'원가 기준'!$G$5)</x:f>
        <x:v>1042423.4621</x:v>
      </x:c>
      <x:c r="F124" s="8" t="n">
        <x:f>D124-E124</x:f>
        <x:v>32257.82388477295</x:v>
      </x:c>
      <x:c r="G124" s="8" t="n">
        <x:f>K124*L124</x:f>
        <x:v>90</x:v>
      </x:c>
      <x:c r="H124" s="7" t="n">
        <x:f>F34*G34</x:f>
        <x:v>1457143.9212760744</x:v>
      </x:c>
      <x:c r="I124" t="str">
        <x:f>IF(H124&gt;=0,"이익","손해")</x:f>
        <x:v>이익</x:v>
      </x:c>
      <x:c r="J124" t="str">
        <x:v>KPI_U04_QTY_G01</x:v>
      </x:c>
      <x:c r="K124" t="n">
        <x:f>IF(YEAR(B34)=2024,'원가 기준'!$C$4,'원가 기준'!$C$5)</x:f>
        <x:v>300</x:v>
      </x:c>
      <x:c r="L124" t="n">
        <x:f>IF(YEAR(B34)=2024,'원가 기준'!$D$4,'원가 기준'!$D$5)</x:f>
        <x:v>0.3</x:v>
      </x:c>
      <x:c r="M124" t="str">
        <x:v>원/Nm3</x:v>
      </x:c>
      <x:c r="N124" t="str">
        <x:v>(실제-목표)×손익반영단가</x:v>
      </x:c>
    </x:row>
    <x:row r="125">
      <x:c r="A125" t="str">
        <x:f>'일별 KPI·변수'!A32</x:f>
        <x:v>2024.10.11 ~ 10.15</x:v>
      </x:c>
      <x:c r="B125" t="str">
        <x:f>'일별 KPI·변수'!B32</x:f>
        <x:v>2024-10-11</x:v>
      </x:c>
      <x:c r="C125" t="str">
        <x:v>약품 A</x:v>
      </x:c>
      <x:c r="D125" s="8" t="n">
        <x:f>'일별 KPI·변수'!V32</x:f>
        <x:v>504.2958637447691</x:v>
      </x:c>
      <x:c r="E125" s="8" t="n">
        <x:f>'원가 기준'!$G$6</x:f>
        <x:v>497.46725</x:v>
      </x:c>
      <x:c r="F125" s="8" t="n">
        <x:f>E125-D125</x:f>
        <x:v>-6.828613744769143</x:v>
      </x:c>
      <x:c r="G125" s="8" t="n">
        <x:f>K125*L125</x:f>
        <x:v>154000</x:v>
      </x:c>
      <x:c r="H125" s="7" t="n">
        <x:f>F34*G34</x:f>
        <x:v>1457143.9212760744</x:v>
      </x:c>
      <x:c r="I125" t="str">
        <x:f>IF(H125&gt;=0,"이익","손해")</x:f>
        <x:v>이익</x:v>
      </x:c>
      <x:c r="J125" t="str">
        <x:v>KPI_U04_CHEM_M01</x:v>
      </x:c>
      <x:c r="K125" t="n">
        <x:f>'원가 기준'!$C$6</x:f>
        <x:v>154000</x:v>
      </x:c>
      <x:c r="L125" t="n">
        <x:f>'원가 기준'!$D$6</x:f>
        <x:v>1</x:v>
      </x:c>
      <x:c r="M125" t="str">
        <x:v>원/kg</x:v>
      </x:c>
      <x:c r="N125" t="str">
        <x:v>(목표-실제)×손익반영단가</x:v>
      </x:c>
    </x:row>
    <x:row r="126">
      <x:c r="A126" t="str">
        <x:f>'일별 KPI·변수'!A32</x:f>
        <x:v>2024.10.11 ~ 10.15</x:v>
      </x:c>
      <x:c r="B126" t="str">
        <x:f>'일별 KPI·변수'!B32</x:f>
        <x:v>2024-10-11</x:v>
      </x:c>
      <x:c r="C126" t="str">
        <x:v>약품 B</x:v>
      </x:c>
      <x:c r="D126" s="8" t="n">
        <x:f>'일별 KPI·변수'!W32</x:f>
        <x:v>901.4639692684316</x:v>
      </x:c>
      <x:c r="E126" s="8" t="n">
        <x:f>'원가 기준'!$G$7</x:f>
        <x:v>898.13507</x:v>
      </x:c>
      <x:c r="F126" s="8" t="n">
        <x:f>E126-D126</x:f>
        <x:v>-3.3288992684315417</x:v>
      </x:c>
      <x:c r="G126" s="8" t="n">
        <x:f>K126*L126</x:f>
        <x:v>128000</x:v>
      </x:c>
      <x:c r="H126" s="7" t="n">
        <x:f>F34*G34</x:f>
        <x:v>1457143.9212760744</x:v>
      </x:c>
      <x:c r="I126" t="str">
        <x:f>IF(H126&gt;=0,"이익","손해")</x:f>
        <x:v>이익</x:v>
      </x:c>
      <x:c r="J126" t="str">
        <x:v>KPI_U04_CHEM_M02</x:v>
      </x:c>
      <x:c r="K126" t="n">
        <x:f>'원가 기준'!$C$7</x:f>
        <x:v>128000</x:v>
      </x:c>
      <x:c r="L126" t="n">
        <x:f>'원가 기준'!$D$7</x:f>
        <x:v>1</x:v>
      </x:c>
      <x:c r="M126" t="str">
        <x:v>원/kg</x:v>
      </x:c>
      <x:c r="N126" t="str">
        <x:v>(목표-실제)×손익반영단가</x:v>
      </x:c>
    </x:row>
    <x:row r="127">
      <x:c r="A127" t="str">
        <x:f>'일별 KPI·변수'!A32</x:f>
        <x:v>2024.10.11 ~ 10.15</x:v>
      </x:c>
      <x:c r="B127" t="str">
        <x:f>'일별 KPI·변수'!B32</x:f>
        <x:v>2024-10-11</x:v>
      </x:c>
      <x:c r="C127" t="str">
        <x:v>스팀</x:v>
      </x:c>
      <x:c r="D127" s="8" t="n">
        <x:f>'추가 변수'!B32</x:f>
        <x:v>0.2411255446342144</x:v>
      </x:c>
      <x:c r="E127" s="8" t="n">
        <x:f>IF(YEAR(B34)=2024,IF(MONTH(B34)&lt;=3,'원가 기준'!$G$8,IF(MONTH(B34)&lt;=6,'원가 기준'!$G$9,IF(MONTH(B34)&lt;=9,'원가 기준'!$G$10,'원가 기준'!$G$13))),IF(MONTH(B34)&lt;=3,'원가 기준'!$G$14,IF(MONTH(B34)&lt;=6,'원가 기준'!$G$15,'원가 기준'!$G$16)))</x:f>
        <x:v>36.4426</x:v>
      </x:c>
      <x:c r="F127" s="8" t="n">
        <x:f>E127-D127</x:f>
        <x:v>36.20147445536578</x:v>
      </x:c>
      <x:c r="G127" s="8" t="n">
        <x:f>K127*L127</x:f>
        <x:v>128000</x:v>
      </x:c>
      <x:c r="H127" s="7" t="n">
        <x:f>F34*G34</x:f>
        <x:v>1457143.9212760744</x:v>
      </x:c>
      <x:c r="I127" t="str">
        <x:f>IF(H127&gt;=0,"이익","손해")</x:f>
        <x:v>이익</x:v>
      </x:c>
      <x:c r="J127" t="str">
        <x:v>KPI_U04_STEAM_M01</x:v>
      </x:c>
      <x:c r="K127" t="n">
        <x:f>G34/L34</x:f>
        <x:v>128000</x:v>
      </x:c>
      <x:c r="L127" t="n">
        <x:f>IF(YEAR(B34)=2024,1,1)</x:f>
        <x:v>1</x:v>
      </x:c>
      <x:c r="M127" t="str">
        <x:v>원/ton</x:v>
      </x:c>
      <x:c r="N127" t="str">
        <x:v>(목표-실제)×손익반영단가</x:v>
      </x:c>
    </x:row>
    <x:row r="128">
      <x:c r="A128" t="str">
        <x:f>'일별 KPI·변수'!A33</x:f>
        <x:v>2024.10.11 ~ 10.15</x:v>
      </x:c>
      <x:c r="B128" t="str">
        <x:f>'일별 KPI·변수'!B33</x:f>
        <x:v>2024-10-12</x:v>
      </x:c>
      <x:c r="C128" t="str">
        <x:v>가스량</x:v>
      </x:c>
      <x:c r="D128" s="8" t="n">
        <x:f>'일별 KPI·변수'!O33</x:f>
        <x:v>1067006.455607825</x:v>
      </x:c>
      <x:c r="E128" s="8" t="n">
        <x:f>IF(YEAR(B35)=2024,'원가 기준'!$G$4,'원가 기준'!$G$5)</x:f>
        <x:v>1042423.4621</x:v>
      </x:c>
      <x:c r="F128" s="8" t="n">
        <x:f>D128-E128</x:f>
        <x:v>24582.993507824955</x:v>
      </x:c>
      <x:c r="G128" s="8" t="n">
        <x:f>K128*L128</x:f>
        <x:v>90</x:v>
      </x:c>
      <x:c r="H128" s="7" t="n">
        <x:f>F35*G35</x:f>
        <x:v>5572970.145761661</x:v>
      </x:c>
      <x:c r="I128" t="str">
        <x:f>IF(H128&gt;=0,"이익","손해")</x:f>
        <x:v>이익</x:v>
      </x:c>
      <x:c r="J128" t="str">
        <x:v>KPI_U04_QTY_G01</x:v>
      </x:c>
      <x:c r="K128" t="n">
        <x:f>IF(YEAR(B35)=2024,'원가 기준'!$C$4,'원가 기준'!$C$5)</x:f>
        <x:v>300</x:v>
      </x:c>
      <x:c r="L128" t="n">
        <x:f>IF(YEAR(B35)=2024,'원가 기준'!$D$4,'원가 기준'!$D$5)</x:f>
        <x:v>0.3</x:v>
      </x:c>
      <x:c r="M128" t="str">
        <x:v>원/Nm3</x:v>
      </x:c>
      <x:c r="N128" t="str">
        <x:v>(실제-목표)×손익반영단가</x:v>
      </x:c>
    </x:row>
    <x:row r="129">
      <x:c r="A129" t="str">
        <x:f>'일별 KPI·변수'!A33</x:f>
        <x:v>2024.10.11 ~ 10.15</x:v>
      </x:c>
      <x:c r="B129" t="str">
        <x:f>'일별 KPI·변수'!B33</x:f>
        <x:v>2024-10-12</x:v>
      </x:c>
      <x:c r="C129" t="str">
        <x:v>약품 A</x:v>
      </x:c>
      <x:c r="D129" s="8" t="n">
        <x:f>'일별 KPI·변수'!V33</x:f>
        <x:v>505.1234520733333</x:v>
      </x:c>
      <x:c r="E129" s="8" t="n">
        <x:f>'원가 기준'!$G$6</x:f>
        <x:v>497.46725</x:v>
      </x:c>
      <x:c r="F129" s="8" t="n">
        <x:f>E129-D129</x:f>
        <x:v>-7.656202073333304</x:v>
      </x:c>
      <x:c r="G129" s="8" t="n">
        <x:f>K129*L129</x:f>
        <x:v>154000</x:v>
      </x:c>
      <x:c r="H129" s="7" t="n">
        <x:f>F35*G35</x:f>
        <x:v>5572970.145761661</x:v>
      </x:c>
      <x:c r="I129" t="str">
        <x:f>IF(H129&gt;=0,"이익","손해")</x:f>
        <x:v>이익</x:v>
      </x:c>
      <x:c r="J129" t="str">
        <x:v>KPI_U04_CHEM_M01</x:v>
      </x:c>
      <x:c r="K129" t="n">
        <x:f>'원가 기준'!$C$6</x:f>
        <x:v>154000</x:v>
      </x:c>
      <x:c r="L129" t="n">
        <x:f>'원가 기준'!$D$6</x:f>
        <x:v>1</x:v>
      </x:c>
      <x:c r="M129" t="str">
        <x:v>원/kg</x:v>
      </x:c>
      <x:c r="N129" t="str">
        <x:v>(목표-실제)×손익반영단가</x:v>
      </x:c>
    </x:row>
    <x:row r="130">
      <x:c r="A130" t="str">
        <x:f>'일별 KPI·변수'!A33</x:f>
        <x:v>2024.10.11 ~ 10.15</x:v>
      </x:c>
      <x:c r="B130" t="str">
        <x:f>'일별 KPI·변수'!B33</x:f>
        <x:v>2024-10-12</x:v>
      </x:c>
      <x:c r="C130" t="str">
        <x:v>약품 B</x:v>
      </x:c>
      <x:c r="D130" s="8" t="n">
        <x:f>'일별 KPI·변수'!W33</x:f>
        <x:v>884.9759690751189</x:v>
      </x:c>
      <x:c r="E130" s="8" t="n">
        <x:f>'원가 기준'!$G$7</x:f>
        <x:v>898.13507</x:v>
      </x:c>
      <x:c r="F130" s="8" t="n">
        <x:f>E130-D130</x:f>
        <x:v>13.159100924881159</x:v>
      </x:c>
      <x:c r="G130" s="8" t="n">
        <x:f>K130*L130</x:f>
        <x:v>128000</x:v>
      </x:c>
      <x:c r="H130" s="7" t="n">
        <x:f>F35*G35</x:f>
        <x:v>5572970.145761661</x:v>
      </x:c>
      <x:c r="I130" t="str">
        <x:f>IF(H130&gt;=0,"이익","손해")</x:f>
        <x:v>이익</x:v>
      </x:c>
      <x:c r="J130" t="str">
        <x:v>KPI_U04_CHEM_M02</x:v>
      </x:c>
      <x:c r="K130" t="n">
        <x:f>'원가 기준'!$C$7</x:f>
        <x:v>128000</x:v>
      </x:c>
      <x:c r="L130" t="n">
        <x:f>'원가 기준'!$D$7</x:f>
        <x:v>1</x:v>
      </x:c>
      <x:c r="M130" t="str">
        <x:v>원/kg</x:v>
      </x:c>
      <x:c r="N130" t="str">
        <x:v>(목표-실제)×손익반영단가</x:v>
      </x:c>
    </x:row>
    <x:row r="131">
      <x:c r="A131" t="str">
        <x:f>'일별 KPI·변수'!A33</x:f>
        <x:v>2024.10.11 ~ 10.15</x:v>
      </x:c>
      <x:c r="B131" t="str">
        <x:f>'일별 KPI·변수'!B33</x:f>
        <x:v>2024-10-12</x:v>
      </x:c>
      <x:c r="C131" t="str">
        <x:v>스팀</x:v>
      </x:c>
      <x:c r="D131" s="8" t="n">
        <x:f>'추가 변수'!B33</x:f>
        <x:v>0.247529108396543</x:v>
      </x:c>
      <x:c r="E131" s="8" t="n">
        <x:f>IF(YEAR(B35)=2024,IF(MONTH(B35)&lt;=3,'원가 기준'!$G$8,IF(MONTH(B35)&lt;=6,'원가 기준'!$G$9,IF(MONTH(B35)&lt;=9,'원가 기준'!$G$10,'원가 기준'!$G$13))),IF(MONTH(B35)&lt;=3,'원가 기준'!$G$14,IF(MONTH(B35)&lt;=6,'원가 기준'!$G$15,'원가 기준'!$G$16)))</x:f>
        <x:v>36.4426</x:v>
      </x:c>
      <x:c r="F131" s="8" t="n">
        <x:f>E131-D131</x:f>
        <x:v>36.19507089160346</x:v>
      </x:c>
      <x:c r="G131" s="8" t="n">
        <x:f>K131*L131</x:f>
        <x:v>154000</x:v>
      </x:c>
      <x:c r="H131" s="7" t="n">
        <x:f>F35*G35</x:f>
        <x:v>5572970.145761661</x:v>
      </x:c>
      <x:c r="I131" t="str">
        <x:f>IF(H131&gt;=0,"이익","손해")</x:f>
        <x:v>이익</x:v>
      </x:c>
      <x:c r="J131" t="str">
        <x:v>KPI_U04_STEAM_M01</x:v>
      </x:c>
      <x:c r="K131" t="n">
        <x:f>G35/L35</x:f>
        <x:v>154000</x:v>
      </x:c>
      <x:c r="L131" t="n">
        <x:f>IF(YEAR(B35)=2024,1,1)</x:f>
        <x:v>1</x:v>
      </x:c>
      <x:c r="M131" t="str">
        <x:v>원/ton</x:v>
      </x:c>
      <x:c r="N131" t="str">
        <x:v>(목표-실제)×손익반영단가</x:v>
      </x:c>
    </x:row>
    <x:row r="132">
      <x:c r="A132" t="str">
        <x:f>'일별 KPI·변수'!A34</x:f>
        <x:v>2024.10.11 ~ 10.15</x:v>
      </x:c>
      <x:c r="B132" t="str">
        <x:f>'일별 KPI·변수'!B34</x:f>
        <x:v>2024-10-13</x:v>
      </x:c>
      <x:c r="C132" t="str">
        <x:v>가스량</x:v>
      </x:c>
      <x:c r="D132" s="8" t="n">
        <x:f>'일별 KPI·변수'!O34</x:f>
        <x:v>1055307.323865211</x:v>
      </x:c>
      <x:c r="E132" s="8" t="n">
        <x:f>IF(YEAR(B36)=2024,'원가 기준'!$G$4,'원가 기준'!$G$5)</x:f>
        <x:v>1042423.4621</x:v>
      </x:c>
      <x:c r="F132" s="8" t="n">
        <x:f>D132-E132</x:f>
        <x:v>12883.861765211099</x:v>
      </x:c>
      <x:c r="G132" s="8" t="n">
        <x:f>K132*L132</x:f>
        <x:v>90</x:v>
      </x:c>
      <x:c r="H132" s="7" t="n">
        <x:f>F36*G36</x:f>
        <x:v>-520102.19991563587</x:v>
      </x:c>
      <x:c r="I132" t="str">
        <x:f>IF(H132&gt;=0,"이익","손해")</x:f>
        <x:v>손해</x:v>
      </x:c>
      <x:c r="J132" t="str">
        <x:v>KPI_U04_QTY_G01</x:v>
      </x:c>
      <x:c r="K132" t="n">
        <x:f>IF(YEAR(B36)=2024,'원가 기준'!$C$4,'원가 기준'!$C$5)</x:f>
        <x:v>300</x:v>
      </x:c>
      <x:c r="L132" t="n">
        <x:f>IF(YEAR(B36)=2024,'원가 기준'!$D$4,'원가 기준'!$D$5)</x:f>
        <x:v>0.3</x:v>
      </x:c>
      <x:c r="M132" t="str">
        <x:v>원/Nm3</x:v>
      </x:c>
      <x:c r="N132" t="str">
        <x:v>(실제-목표)×손익반영단가</x:v>
      </x:c>
    </x:row>
    <x:row r="133">
      <x:c r="A133" t="str">
        <x:f>'일별 KPI·변수'!A34</x:f>
        <x:v>2024.10.11 ~ 10.15</x:v>
      </x:c>
      <x:c r="B133" t="str">
        <x:f>'일별 KPI·변수'!B34</x:f>
        <x:v>2024-10-13</x:v>
      </x:c>
      <x:c r="C133" t="str">
        <x:v>약품 A</x:v>
      </x:c>
      <x:c r="D133" s="8" t="n">
        <x:f>'일별 KPI·변수'!V34</x:f>
        <x:v>493.6327704311771</x:v>
      </x:c>
      <x:c r="E133" s="8" t="n">
        <x:f>'원가 기준'!$G$6</x:f>
        <x:v>497.46725</x:v>
      </x:c>
      <x:c r="F133" s="8" t="n">
        <x:f>E133-D133</x:f>
        <x:v>3.8344795688228714</x:v>
      </x:c>
      <x:c r="G133" s="8" t="n">
        <x:f>K133*L133</x:f>
        <x:v>154000</x:v>
      </x:c>
      <x:c r="H133" s="7" t="n">
        <x:f>F36*G36</x:f>
        <x:v>-520102.19991563587</x:v>
      </x:c>
      <x:c r="I133" t="str">
        <x:f>IF(H133&gt;=0,"이익","손해")</x:f>
        <x:v>손해</x:v>
      </x:c>
      <x:c r="J133" t="str">
        <x:v>KPI_U04_CHEM_M01</x:v>
      </x:c>
      <x:c r="K133" t="n">
        <x:f>'원가 기준'!$C$6</x:f>
        <x:v>154000</x:v>
      </x:c>
      <x:c r="L133" t="n">
        <x:f>'원가 기준'!$D$6</x:f>
        <x:v>1</x:v>
      </x:c>
      <x:c r="M133" t="str">
        <x:v>원/kg</x:v>
      </x:c>
      <x:c r="N133" t="str">
        <x:v>(목표-실제)×손익반영단가</x:v>
      </x:c>
    </x:row>
    <x:row r="134">
      <x:c r="A134" t="str">
        <x:f>'일별 KPI·변수'!A34</x:f>
        <x:v>2024.10.11 ~ 10.15</x:v>
      </x:c>
      <x:c r="B134" t="str">
        <x:f>'일별 KPI·변수'!B34</x:f>
        <x:v>2024-10-13</x:v>
      </x:c>
      <x:c r="C134" t="str">
        <x:v>약품 B</x:v>
      </x:c>
      <x:c r="D134" s="8" t="n">
        <x:f>'일별 KPI·변수'!W34</x:f>
        <x:v>885.2674372106256</x:v>
      </x:c>
      <x:c r="E134" s="8" t="n">
        <x:f>'원가 기준'!$G$7</x:f>
        <x:v>898.13507</x:v>
      </x:c>
      <x:c r="F134" s="8" t="n">
        <x:f>E134-D134</x:f>
        <x:v>12.867632789374397</x:v>
      </x:c>
      <x:c r="G134" s="8" t="n">
        <x:f>K134*L134</x:f>
        <x:v>128000</x:v>
      </x:c>
      <x:c r="H134" s="7" t="n">
        <x:f>F36*G36</x:f>
        <x:v>-520102.19991563587</x:v>
      </x:c>
      <x:c r="I134" t="str">
        <x:f>IF(H134&gt;=0,"이익","손해")</x:f>
        <x:v>손해</x:v>
      </x:c>
      <x:c r="J134" t="str">
        <x:v>KPI_U04_CHEM_M02</x:v>
      </x:c>
      <x:c r="K134" t="n">
        <x:f>'원가 기준'!$C$7</x:f>
        <x:v>128000</x:v>
      </x:c>
      <x:c r="L134" t="n">
        <x:f>'원가 기준'!$D$7</x:f>
        <x:v>1</x:v>
      </x:c>
      <x:c r="M134" t="str">
        <x:v>원/kg</x:v>
      </x:c>
      <x:c r="N134" t="str">
        <x:v>(목표-실제)×손익반영단가</x:v>
      </x:c>
    </x:row>
    <x:row r="135">
      <x:c r="A135" t="str">
        <x:f>'일별 KPI·변수'!A34</x:f>
        <x:v>2024.10.11 ~ 10.15</x:v>
      </x:c>
      <x:c r="B135" t="str">
        <x:f>'일별 KPI·변수'!B34</x:f>
        <x:v>2024-10-13</x:v>
      </x:c>
      <x:c r="C135" t="str">
        <x:v>스팀</x:v>
      </x:c>
      <x:c r="D135" s="8" t="n">
        <x:f>'추가 변수'!B34</x:f>
        <x:v>0.2446854861592879</x:v>
      </x:c>
      <x:c r="E135" s="8" t="n">
        <x:f>IF(YEAR(B36)=2024,IF(MONTH(B36)&lt;=3,'원가 기준'!$G$8,IF(MONTH(B36)&lt;=6,'원가 기준'!$G$9,IF(MONTH(B36)&lt;=9,'원가 기준'!$G$10,'원가 기준'!$G$13))),IF(MONTH(B36)&lt;=3,'원가 기준'!$G$14,IF(MONTH(B36)&lt;=6,'원가 기준'!$G$15,'원가 기준'!$G$16)))</x:f>
        <x:v>36.4426</x:v>
      </x:c>
      <x:c r="F135" s="8" t="n">
        <x:f>E135-D135</x:f>
        <x:v>36.19791451384071</x:v>
      </x:c>
      <x:c r="G135" s="8" t="n">
        <x:f>K135*L135</x:f>
        <x:v>300</x:v>
      </x:c>
      <x:c r="H135" s="7" t="n">
        <x:f>F36*G36</x:f>
        <x:v>-520102.19991563587</x:v>
      </x:c>
      <x:c r="I135" t="str">
        <x:f>IF(H135&gt;=0,"이익","손해")</x:f>
        <x:v>손해</x:v>
      </x:c>
      <x:c r="J135" t="str">
        <x:v>KPI_U04_STEAM_M01</x:v>
      </x:c>
      <x:c r="K135" t="n">
        <x:f>G36/L36</x:f>
        <x:v>300</x:v>
      </x:c>
      <x:c r="L135" t="n">
        <x:f>IF(YEAR(B36)=2024,1,1)</x:f>
        <x:v>1</x:v>
      </x:c>
      <x:c r="M135" t="str">
        <x:v>원/ton</x:v>
      </x:c>
      <x:c r="N135" t="str">
        <x:v>(목표-실제)×손익반영단가</x:v>
      </x:c>
    </x:row>
    <x:row r="136">
      <x:c r="A136" t="str">
        <x:f>'일별 KPI·변수'!A35</x:f>
        <x:v>2024.10.11 ~ 10.15</x:v>
      </x:c>
      <x:c r="B136" t="str">
        <x:f>'일별 KPI·변수'!B35</x:f>
        <x:v>2024-10-14</x:v>
      </x:c>
      <x:c r="C136" t="str">
        <x:v>가스량</x:v>
      </x:c>
      <x:c r="D136" s="8" t="n">
        <x:f>'일별 KPI·변수'!O35</x:f>
        <x:v>1018427.955919989</x:v>
      </x:c>
      <x:c r="E136" s="8" t="n">
        <x:f>IF(YEAR(B37)=2024,'원가 기준'!$G$4,'원가 기준'!$G$5)</x:f>
        <x:v>1042423.4621</x:v>
      </x:c>
      <x:c r="F136" s="8" t="n">
        <x:f>D136-E136</x:f>
        <x:v>-23995.50618001097</x:v>
      </x:c>
      <x:c r="G136" s="8" t="n">
        <x:f>K136*L136</x:f>
        <x:v>90</x:v>
      </x:c>
      <x:c r="H136" s="7" t="n">
        <x:f>F37*G37</x:f>
        <x:v>1963718.3430461003</x:v>
      </x:c>
      <x:c r="I136" t="str">
        <x:f>IF(H136&gt;=0,"이익","손해")</x:f>
        <x:v>이익</x:v>
      </x:c>
      <x:c r="J136" t="str">
        <x:v>KPI_U04_QTY_G01</x:v>
      </x:c>
      <x:c r="K136" t="n">
        <x:f>IF(YEAR(B37)=2024,'원가 기준'!$C$4,'원가 기준'!$C$5)</x:f>
        <x:v>300</x:v>
      </x:c>
      <x:c r="L136" t="n">
        <x:f>IF(YEAR(B37)=2024,'원가 기준'!$D$4,'원가 기준'!$D$5)</x:f>
        <x:v>0.3</x:v>
      </x:c>
      <x:c r="M136" t="str">
        <x:v>원/Nm3</x:v>
      </x:c>
      <x:c r="N136" t="str">
        <x:v>(실제-목표)×손익반영단가</x:v>
      </x:c>
    </x:row>
    <x:row r="137">
      <x:c r="A137" t="str">
        <x:f>'일별 KPI·변수'!A35</x:f>
        <x:v>2024.10.11 ~ 10.15</x:v>
      </x:c>
      <x:c r="B137" t="str">
        <x:f>'일별 KPI·변수'!B35</x:f>
        <x:v>2024-10-14</x:v>
      </x:c>
      <x:c r="C137" t="str">
        <x:v>약품 A</x:v>
      </x:c>
      <x:c r="D137" s="8" t="n">
        <x:f>'일별 KPI·변수'!V35</x:f>
        <x:v>480.6963465523007</x:v>
      </x:c>
      <x:c r="E137" s="8" t="n">
        <x:f>'원가 기준'!$G$6</x:f>
        <x:v>497.46725</x:v>
      </x:c>
      <x:c r="F137" s="8" t="n">
        <x:f>E137-D137</x:f>
        <x:v>16.770903447699254</x:v>
      </x:c>
      <x:c r="G137" s="8" t="n">
        <x:f>K137*L137</x:f>
        <x:v>154000</x:v>
      </x:c>
      <x:c r="H137" s="7" t="n">
        <x:f>F37*G37</x:f>
        <x:v>1963718.3430461003</x:v>
      </x:c>
      <x:c r="I137" t="str">
        <x:f>IF(H137&gt;=0,"이익","손해")</x:f>
        <x:v>이익</x:v>
      </x:c>
      <x:c r="J137" t="str">
        <x:v>KPI_U04_CHEM_M01</x:v>
      </x:c>
      <x:c r="K137" t="n">
        <x:f>'원가 기준'!$C$6</x:f>
        <x:v>154000</x:v>
      </x:c>
      <x:c r="L137" t="n">
        <x:f>'원가 기준'!$D$6</x:f>
        <x:v>1</x:v>
      </x:c>
      <x:c r="M137" t="str">
        <x:v>원/kg</x:v>
      </x:c>
      <x:c r="N137" t="str">
        <x:v>(목표-실제)×손익반영단가</x:v>
      </x:c>
    </x:row>
    <x:row r="138">
      <x:c r="A138" t="str">
        <x:f>'일별 KPI·변수'!A35</x:f>
        <x:v>2024.10.11 ~ 10.15</x:v>
      </x:c>
      <x:c r="B138" t="str">
        <x:f>'일별 KPI·변수'!B35</x:f>
        <x:v>2024-10-14</x:v>
      </x:c>
      <x:c r="C138" t="str">
        <x:v>약품 B</x:v>
      </x:c>
      <x:c r="D138" s="8" t="n">
        <x:f>'일별 KPI·변수'!W35</x:f>
        <x:v>879.509285215952</x:v>
      </x:c>
      <x:c r="E138" s="8" t="n">
        <x:f>'원가 기준'!$G$7</x:f>
        <x:v>898.13507</x:v>
      </x:c>
      <x:c r="F138" s="8" t="n">
        <x:f>E138-D138</x:f>
        <x:v>18.62578478404805</x:v>
      </x:c>
      <x:c r="G138" s="8" t="n">
        <x:f>K138*L138</x:f>
        <x:v>128000</x:v>
      </x:c>
      <x:c r="H138" s="7" t="n">
        <x:f>F37*G37</x:f>
        <x:v>1963718.3430461003</x:v>
      </x:c>
      <x:c r="I138" t="str">
        <x:f>IF(H138&gt;=0,"이익","손해")</x:f>
        <x:v>이익</x:v>
      </x:c>
      <x:c r="J138" t="str">
        <x:v>KPI_U04_CHEM_M02</x:v>
      </x:c>
      <x:c r="K138" t="n">
        <x:f>'원가 기준'!$C$7</x:f>
        <x:v>128000</x:v>
      </x:c>
      <x:c r="L138" t="n">
        <x:f>'원가 기준'!$D$7</x:f>
        <x:v>1</x:v>
      </x:c>
      <x:c r="M138" t="str">
        <x:v>원/kg</x:v>
      </x:c>
      <x:c r="N138" t="str">
        <x:v>(목표-실제)×손익반영단가</x:v>
      </x:c>
    </x:row>
    <x:row r="139">
      <x:c r="A139" t="str">
        <x:f>'일별 KPI·변수'!A35</x:f>
        <x:v>2024.10.11 ~ 10.15</x:v>
      </x:c>
      <x:c r="B139" t="str">
        <x:f>'일별 KPI·변수'!B35</x:f>
        <x:v>2024-10-14</x:v>
      </x:c>
      <x:c r="C139" t="str">
        <x:v>스팀</x:v>
      </x:c>
      <x:c r="D139" s="8" t="n">
        <x:f>'추가 변수'!B35</x:f>
        <x:v>0.2452917940680603</x:v>
      </x:c>
      <x:c r="E139" s="8" t="n">
        <x:f>IF(YEAR(B37)=2024,IF(MONTH(B37)&lt;=3,'원가 기준'!$G$8,IF(MONTH(B37)&lt;=6,'원가 기준'!$G$9,IF(MONTH(B37)&lt;=9,'원가 기준'!$G$10,'원가 기준'!$G$13))),IF(MONTH(B37)&lt;=3,'원가 기준'!$G$14,IF(MONTH(B37)&lt;=6,'원가 기준'!$G$15,'원가 기준'!$G$16)))</x:f>
        <x:v>36.4426</x:v>
      </x:c>
      <x:c r="F139" s="8" t="n">
        <x:f>E139-D139</x:f>
        <x:v>36.19730820593194</x:v>
      </x:c>
      <x:c r="G139" s="8" t="n">
        <x:f>K139*L139</x:f>
        <x:v>154000</x:v>
      </x:c>
      <x:c r="H139" s="7" t="n">
        <x:f>F37*G37</x:f>
        <x:v>1963718.3430461003</x:v>
      </x:c>
      <x:c r="I139" t="str">
        <x:f>IF(H139&gt;=0,"이익","손해")</x:f>
        <x:v>이익</x:v>
      </x:c>
      <x:c r="J139" t="str">
        <x:v>KPI_U04_STEAM_M01</x:v>
      </x:c>
      <x:c r="K139" t="n">
        <x:f>G37/L37</x:f>
        <x:v>154000</x:v>
      </x:c>
      <x:c r="L139" t="n">
        <x:f>IF(YEAR(B37)=2024,1,1)</x:f>
        <x:v>1</x:v>
      </x:c>
      <x:c r="M139" t="str">
        <x:v>원/ton</x:v>
      </x:c>
      <x:c r="N139" t="str">
        <x:v>(목표-실제)×손익반영단가</x:v>
      </x:c>
    </x:row>
    <x:row r="140">
      <x:c r="A140" t="str">
        <x:f>'일별 KPI·변수'!A36</x:f>
        <x:v>2024.10.11 ~ 10.15</x:v>
      </x:c>
      <x:c r="B140" t="str">
        <x:f>'일별 KPI·변수'!B36</x:f>
        <x:v>2024-10-15</x:v>
      </x:c>
      <x:c r="C140" t="str">
        <x:v>가스량</x:v>
      </x:c>
      <x:c r="D140" s="8" t="n">
        <x:f>'일별 KPI·변수'!O36</x:f>
        <x:v>1042561.083789536</x:v>
      </x:c>
      <x:c r="E140" s="8" t="n">
        <x:f>IF(YEAR(B38)=2024,'원가 기준'!$G$4,'원가 기준'!$G$5)</x:f>
        <x:v>1042423.4621</x:v>
      </x:c>
      <x:c r="F140" s="8" t="n">
        <x:f>D140-E140</x:f>
        <x:v>137.62168953602668</x:v>
      </x:c>
      <x:c r="G140" s="8" t="n">
        <x:f>K140*L140</x:f>
        <x:v>90</x:v>
      </x:c>
      <x:c r="H140" s="7" t="n">
        <x:f>F38*G38</x:f>
        <x:v>1615678.8623689208</x:v>
      </x:c>
      <x:c r="I140" t="str">
        <x:f>IF(H140&gt;=0,"이익","손해")</x:f>
        <x:v>이익</x:v>
      </x:c>
      <x:c r="J140" t="str">
        <x:v>KPI_U04_QTY_G01</x:v>
      </x:c>
      <x:c r="K140" t="n">
        <x:f>IF(YEAR(B38)=2024,'원가 기준'!$C$4,'원가 기준'!$C$5)</x:f>
        <x:v>300</x:v>
      </x:c>
      <x:c r="L140" t="n">
        <x:f>IF(YEAR(B38)=2024,'원가 기준'!$D$4,'원가 기준'!$D$5)</x:f>
        <x:v>0.3</x:v>
      </x:c>
      <x:c r="M140" t="str">
        <x:v>원/Nm3</x:v>
      </x:c>
      <x:c r="N140" t="str">
        <x:v>(실제-목표)×손익반영단가</x:v>
      </x:c>
    </x:row>
    <x:row r="141">
      <x:c r="A141" t="str">
        <x:f>'일별 KPI·변수'!A36</x:f>
        <x:v>2024.10.11 ~ 10.15</x:v>
      </x:c>
      <x:c r="B141" t="str">
        <x:f>'일별 KPI·변수'!B36</x:f>
        <x:v>2024-10-15</x:v>
      </x:c>
      <x:c r="C141" t="str">
        <x:v>약품 A</x:v>
      </x:c>
      <x:c r="D141" s="8" t="n">
        <x:f>'일별 KPI·변수'!V36</x:f>
        <x:v>487.2423845021582</x:v>
      </x:c>
      <x:c r="E141" s="8" t="n">
        <x:f>'원가 기준'!$G$6</x:f>
        <x:v>497.46725</x:v>
      </x:c>
      <x:c r="F141" s="8" t="n">
        <x:f>E141-D141</x:f>
        <x:v>10.22486549784179</x:v>
      </x:c>
      <x:c r="G141" s="8" t="n">
        <x:f>K141*L141</x:f>
        <x:v>154000</x:v>
      </x:c>
      <x:c r="H141" s="7" t="n">
        <x:f>F38*G38</x:f>
        <x:v>1615678.8623689208</x:v>
      </x:c>
      <x:c r="I141" t="str">
        <x:f>IF(H141&gt;=0,"이익","손해")</x:f>
        <x:v>이익</x:v>
      </x:c>
      <x:c r="J141" t="str">
        <x:v>KPI_U04_CHEM_M01</x:v>
      </x:c>
      <x:c r="K141" t="n">
        <x:f>'원가 기준'!$C$6</x:f>
        <x:v>154000</x:v>
      </x:c>
      <x:c r="L141" t="n">
        <x:f>'원가 기준'!$D$6</x:f>
        <x:v>1</x:v>
      </x:c>
      <x:c r="M141" t="str">
        <x:v>원/kg</x:v>
      </x:c>
      <x:c r="N141" t="str">
        <x:v>(목표-실제)×손익반영단가</x:v>
      </x:c>
    </x:row>
    <x:row r="142">
      <x:c r="A142" t="str">
        <x:f>'일별 KPI·변수'!A36</x:f>
        <x:v>2024.10.11 ~ 10.15</x:v>
      </x:c>
      <x:c r="B142" t="str">
        <x:f>'일별 KPI·변수'!B36</x:f>
        <x:v>2024-10-15</x:v>
      </x:c>
      <x:c r="C142" t="str">
        <x:v>약품 B</x:v>
      </x:c>
      <x:c r="D142" s="8" t="n">
        <x:f>'일별 KPI·변수'!W36</x:f>
        <x:v>893.4624026337478</x:v>
      </x:c>
      <x:c r="E142" s="8" t="n">
        <x:f>'원가 기준'!$G$7</x:f>
        <x:v>898.13507</x:v>
      </x:c>
      <x:c r="F142" s="8" t="n">
        <x:f>E142-D142</x:f>
        <x:v>4.672667366252199</x:v>
      </x:c>
      <x:c r="G142" s="8" t="n">
        <x:f>K142*L142</x:f>
        <x:v>128000</x:v>
      </x:c>
      <x:c r="H142" s="7" t="n">
        <x:f>F38*G38</x:f>
        <x:v>1615678.8623689208</x:v>
      </x:c>
      <x:c r="I142" t="str">
        <x:f>IF(H142&gt;=0,"이익","손해")</x:f>
        <x:v>이익</x:v>
      </x:c>
      <x:c r="J142" t="str">
        <x:v>KPI_U04_CHEM_M02</x:v>
      </x:c>
      <x:c r="K142" t="n">
        <x:f>'원가 기준'!$C$7</x:f>
        <x:v>128000</x:v>
      </x:c>
      <x:c r="L142" t="n">
        <x:f>'원가 기준'!$D$7</x:f>
        <x:v>1</x:v>
      </x:c>
      <x:c r="M142" t="str">
        <x:v>원/kg</x:v>
      </x:c>
      <x:c r="N142" t="str">
        <x:v>(목표-실제)×손익반영단가</x:v>
      </x:c>
    </x:row>
    <x:row r="143">
      <x:c r="A143" t="str">
        <x:f>'일별 KPI·변수'!A36</x:f>
        <x:v>2024.10.11 ~ 10.15</x:v>
      </x:c>
      <x:c r="B143" t="str">
        <x:f>'일별 KPI·변수'!B36</x:f>
        <x:v>2024-10-15</x:v>
      </x:c>
      <x:c r="C143" t="str">
        <x:v>스팀</x:v>
      </x:c>
      <x:c r="D143" s="8" t="n">
        <x:f>'추가 변수'!B36</x:f>
        <x:v>0.2504700109369732</x:v>
      </x:c>
      <x:c r="E143" s="8" t="n">
        <x:f>IF(YEAR(B38)=2024,IF(MONTH(B38)&lt;=3,'원가 기준'!$G$8,IF(MONTH(B38)&lt;=6,'원가 기준'!$G$9,IF(MONTH(B38)&lt;=9,'원가 기준'!$G$10,'원가 기준'!$G$13))),IF(MONTH(B38)&lt;=3,'원가 기준'!$G$14,IF(MONTH(B38)&lt;=6,'원가 기준'!$G$15,'원가 기준'!$G$16)))</x:f>
        <x:v>36.4426</x:v>
      </x:c>
      <x:c r="F143" s="8" t="n">
        <x:f>E143-D143</x:f>
        <x:v>36.19212998906303</x:v>
      </x:c>
      <x:c r="G143" s="8" t="n">
        <x:f>K143*L143</x:f>
        <x:v>128000</x:v>
      </x:c>
      <x:c r="H143" s="7" t="n">
        <x:f>F38*G38</x:f>
        <x:v>1615678.8623689208</x:v>
      </x:c>
      <x:c r="I143" t="str">
        <x:f>IF(H143&gt;=0,"이익","손해")</x:f>
        <x:v>이익</x:v>
      </x:c>
      <x:c r="J143" t="str">
        <x:v>KPI_U04_STEAM_M01</x:v>
      </x:c>
      <x:c r="K143" t="n">
        <x:f>G38/L38</x:f>
        <x:v>128000</x:v>
      </x:c>
      <x:c r="L143" t="n">
        <x:f>IF(YEAR(B38)=2024,1,1)</x:f>
        <x:v>1</x:v>
      </x:c>
      <x:c r="M143" t="str">
        <x:v>원/ton</x:v>
      </x:c>
      <x:c r="N143" t="str">
        <x:v>(목표-실제)×손익반영단가</x:v>
      </x:c>
    </x:row>
    <x:row r="144">
      <x:c r="A144" t="str">
        <x:f>'일별 KPI·변수'!A37</x:f>
        <x:v>2025.09.11 ~ 09.16</x:v>
      </x:c>
      <x:c r="B144" t="str">
        <x:f>'일별 KPI·변수'!B37</x:f>
        <x:v>2025-09-11</x:v>
      </x:c>
      <x:c r="C144" t="str">
        <x:v>가스량</x:v>
      </x:c>
      <x:c r="D144" s="8" t="n">
        <x:f>'일별 KPI·변수'!O37</x:f>
        <x:v>1047770.40709812</x:v>
      </x:c>
      <x:c r="E144" s="8" t="n">
        <x:f>IF(YEAR(B39)=2024,'원가 기준'!$G$4,'원가 기준'!$G$5)</x:f>
        <x:v>1042423.4621</x:v>
      </x:c>
      <x:c r="F144" s="8" t="n">
        <x:f>D144-E144</x:f>
        <x:v>5346.944998119958</x:v>
      </x:c>
      <x:c r="G144" s="8" t="n">
        <x:f>K144*L144</x:f>
        <x:v>90</x:v>
      </x:c>
      <x:c r="H144" s="7" t="n">
        <x:f>F39*G39</x:f>
        <x:v>10855.962409821472</x:v>
      </x:c>
      <x:c r="I144" t="str">
        <x:f>IF(H144&gt;=0,"이익","손해")</x:f>
        <x:v>이익</x:v>
      </x:c>
      <x:c r="J144" t="str">
        <x:v>KPI_U04_QTY_G01</x:v>
      </x:c>
      <x:c r="K144" t="n">
        <x:f>IF(YEAR(B39)=2024,'원가 기준'!$C$4,'원가 기준'!$C$5)</x:f>
        <x:v>300</x:v>
      </x:c>
      <x:c r="L144" t="n">
        <x:f>IF(YEAR(B39)=2024,'원가 기준'!$D$4,'원가 기준'!$D$5)</x:f>
        <x:v>0.3</x:v>
      </x:c>
      <x:c r="M144" t="str">
        <x:v>원/Nm3</x:v>
      </x:c>
      <x:c r="N144" t="str">
        <x:v>(실제-목표)×손익반영단가</x:v>
      </x:c>
    </x:row>
    <x:row r="145">
      <x:c r="A145" t="str">
        <x:f>'일별 KPI·변수'!A37</x:f>
        <x:v>2025.09.11 ~ 09.16</x:v>
      </x:c>
      <x:c r="B145" t="str">
        <x:f>'일별 KPI·변수'!B37</x:f>
        <x:v>2025-09-11</x:v>
      </x:c>
      <x:c r="C145" t="str">
        <x:v>약품 A</x:v>
      </x:c>
      <x:c r="D145" s="8" t="n">
        <x:f>'일별 KPI·변수'!V37</x:f>
        <x:v>491.1139689564153</x:v>
      </x:c>
      <x:c r="E145" s="8" t="n">
        <x:f>'원가 기준'!$G$6</x:f>
        <x:v>497.46725</x:v>
      </x:c>
      <x:c r="F145" s="8" t="n">
        <x:f>E145-D145</x:f>
        <x:v>6.353281043584673</x:v>
      </x:c>
      <x:c r="G145" s="8" t="n">
        <x:f>K145*L145</x:f>
        <x:v>154000</x:v>
      </x:c>
      <x:c r="H145" s="7" t="n">
        <x:f>F39*G39</x:f>
        <x:v>10855.962409821472</x:v>
      </x:c>
      <x:c r="I145" t="str">
        <x:f>IF(H145&gt;=0,"이익","손해")</x:f>
        <x:v>이익</x:v>
      </x:c>
      <x:c r="J145" t="str">
        <x:v>KPI_U04_CHEM_M01</x:v>
      </x:c>
      <x:c r="K145" t="n">
        <x:f>'원가 기준'!$C$6</x:f>
        <x:v>154000</x:v>
      </x:c>
      <x:c r="L145" t="n">
        <x:f>'원가 기준'!$D$6</x:f>
        <x:v>1</x:v>
      </x:c>
      <x:c r="M145" t="str">
        <x:v>원/kg</x:v>
      </x:c>
      <x:c r="N145" t="str">
        <x:v>(목표-실제)×손익반영단가</x:v>
      </x:c>
    </x:row>
    <x:row r="146">
      <x:c r="A146" t="str">
        <x:f>'일별 KPI·변수'!A37</x:f>
        <x:v>2025.09.11 ~ 09.16</x:v>
      </x:c>
      <x:c r="B146" t="str">
        <x:f>'일별 KPI·변수'!B37</x:f>
        <x:v>2025-09-11</x:v>
      </x:c>
      <x:c r="C146" t="str">
        <x:v>약품 B</x:v>
      </x:c>
      <x:c r="D146" s="8" t="n">
        <x:f>'일별 KPI·변수'!W37</x:f>
        <x:v>895.1673968915736</x:v>
      </x:c>
      <x:c r="E146" s="8" t="n">
        <x:f>'원가 기준'!$G$7</x:f>
        <x:v>898.13507</x:v>
      </x:c>
      <x:c r="F146" s="8" t="n">
        <x:f>E146-D146</x:f>
        <x:v>2.9676731084264247</x:v>
      </x:c>
      <x:c r="G146" s="8" t="n">
        <x:f>K146*L146</x:f>
        <x:v>128000</x:v>
      </x:c>
      <x:c r="H146" s="7" t="n">
        <x:f>F39*G39</x:f>
        <x:v>10855.962409821472</x:v>
      </x:c>
      <x:c r="I146" t="str">
        <x:f>IF(H146&gt;=0,"이익","손해")</x:f>
        <x:v>이익</x:v>
      </x:c>
      <x:c r="J146" t="str">
        <x:v>KPI_U04_CHEM_M02</x:v>
      </x:c>
      <x:c r="K146" t="n">
        <x:f>'원가 기준'!$C$7</x:f>
        <x:v>128000</x:v>
      </x:c>
      <x:c r="L146" t="n">
        <x:f>'원가 기준'!$D$7</x:f>
        <x:v>1</x:v>
      </x:c>
      <x:c r="M146" t="str">
        <x:v>원/kg</x:v>
      </x:c>
      <x:c r="N146" t="str">
        <x:v>(목표-실제)×손익반영단가</x:v>
      </x:c>
    </x:row>
    <x:row r="147">
      <x:c r="A147" t="str">
        <x:f>'일별 KPI·변수'!A37</x:f>
        <x:v>2025.09.11 ~ 09.16</x:v>
      </x:c>
      <x:c r="B147" t="str">
        <x:f>'일별 KPI·변수'!B37</x:f>
        <x:v>2025-09-11</x:v>
      </x:c>
      <x:c r="C147" t="str">
        <x:v>스팀</x:v>
      </x:c>
      <x:c r="D147" s="8" t="n">
        <x:f>'추가 변수'!B37</x:f>
        <x:v>0.2076227089851433</x:v>
      </x:c>
      <x:c r="E147" s="8" t="n">
        <x:f>IF(YEAR(B39)=2024,IF(MONTH(B39)&lt;=3,'원가 기준'!$G$8,IF(MONTH(B39)&lt;=6,'원가 기준'!$G$9,IF(MONTH(B39)&lt;=9,'원가 기준'!$G$10,'원가 기준'!$G$13))),IF(MONTH(B39)&lt;=3,'원가 기준'!$G$14,IF(MONTH(B39)&lt;=6,'원가 기준'!$G$15,'원가 기준'!$G$16)))</x:f>
        <x:v>36.4426</x:v>
      </x:c>
      <x:c r="F147" s="8" t="n">
        <x:f>E147-D147</x:f>
        <x:v>36.23497729101486</x:v>
      </x:c>
      <x:c r="G147" s="8" t="n">
        <x:f>K147*L147</x:f>
        <x:v>300</x:v>
      </x:c>
      <x:c r="H147" s="7" t="n">
        <x:f>F39*G39</x:f>
        <x:v>10855.962409821472</x:v>
      </x:c>
      <x:c r="I147" t="str">
        <x:f>IF(H147&gt;=0,"이익","손해")</x:f>
        <x:v>이익</x:v>
      </x:c>
      <x:c r="J147" t="str">
        <x:v>KPI_U04_STEAM_M01</x:v>
      </x:c>
      <x:c r="K147" t="n">
        <x:f>G39/L39</x:f>
        <x:v>300</x:v>
      </x:c>
      <x:c r="L147" t="n">
        <x:f>IF(YEAR(B39)=2024,1,1)</x:f>
        <x:v>1</x:v>
      </x:c>
      <x:c r="M147" t="str">
        <x:v>원/ton</x:v>
      </x:c>
      <x:c r="N147" t="str">
        <x:v>(목표-실제)×손익반영단가</x:v>
      </x:c>
    </x:row>
    <x:row r="148">
      <x:c r="A148" t="str">
        <x:f>'일별 KPI·변수'!A38</x:f>
        <x:v>2025.09.11 ~ 09.16</x:v>
      </x:c>
      <x:c r="B148" t="str">
        <x:f>'일별 KPI·변수'!B38</x:f>
        <x:v>2025-09-12</x:v>
      </x:c>
      <x:c r="C148" t="str">
        <x:v>가스량</x:v>
      </x:c>
      <x:c r="D148" s="8" t="n">
        <x:f>'일별 KPI·변수'!O38</x:f>
        <x:v>1033642.873329967</x:v>
      </x:c>
      <x:c r="E148" s="8" t="n">
        <x:f>IF(YEAR(B40)=2024,'원가 기준'!$G$4,'원가 기준'!$G$5)</x:f>
        <x:v>1042423.4621</x:v>
      </x:c>
      <x:c r="F148" s="8" t="n">
        <x:f>D148-E148</x:f>
        <x:v>-8780.588770032977</x:v>
      </x:c>
      <x:c r="G148" s="8" t="n">
        <x:f>K148*L148</x:f>
        <x:v>90</x:v>
      </x:c>
      <x:c r="H148" s="7" t="n">
        <x:f>F40*G40</x:f>
        <x:v>2705013.910738713</x:v>
      </x:c>
      <x:c r="I148" t="str">
        <x:f>IF(H148&gt;=0,"이익","손해")</x:f>
        <x:v>이익</x:v>
      </x:c>
      <x:c r="J148" t="str">
        <x:v>KPI_U04_QTY_G01</x:v>
      </x:c>
      <x:c r="K148" t="n">
        <x:f>IF(YEAR(B40)=2024,'원가 기준'!$C$4,'원가 기준'!$C$5)</x:f>
        <x:v>300</x:v>
      </x:c>
      <x:c r="L148" t="n">
        <x:f>IF(YEAR(B40)=2024,'원가 기준'!$D$4,'원가 기준'!$D$5)</x:f>
        <x:v>0.3</x:v>
      </x:c>
      <x:c r="M148" t="str">
        <x:v>원/Nm3</x:v>
      </x:c>
      <x:c r="N148" t="str">
        <x:v>(실제-목표)×손익반영단가</x:v>
      </x:c>
    </x:row>
    <x:row r="149">
      <x:c r="A149" t="str">
        <x:f>'일별 KPI·변수'!A38</x:f>
        <x:v>2025.09.11 ~ 09.16</x:v>
      </x:c>
      <x:c r="B149" t="str">
        <x:f>'일별 KPI·변수'!B38</x:f>
        <x:v>2025-09-12</x:v>
      </x:c>
      <x:c r="C149" t="str">
        <x:v>약품 A</x:v>
      </x:c>
      <x:c r="D149" s="8" t="n">
        <x:f>'일별 KPI·변수'!V38</x:f>
        <x:v>483.7504137914732</x:v>
      </x:c>
      <x:c r="E149" s="8" t="n">
        <x:f>'원가 기준'!$G$6</x:f>
        <x:v>497.46725</x:v>
      </x:c>
      <x:c r="F149" s="8" t="n">
        <x:f>E149-D149</x:f>
        <x:v>13.716836208526786</x:v>
      </x:c>
      <x:c r="G149" s="8" t="n">
        <x:f>K149*L149</x:f>
        <x:v>154000</x:v>
      </x:c>
      <x:c r="H149" s="7" t="n">
        <x:f>F40*G40</x:f>
        <x:v>2705013.910738713</x:v>
      </x:c>
      <x:c r="I149" t="str">
        <x:f>IF(H149&gt;=0,"이익","손해")</x:f>
        <x:v>이익</x:v>
      </x:c>
      <x:c r="J149" t="str">
        <x:v>KPI_U04_CHEM_M01</x:v>
      </x:c>
      <x:c r="K149" t="n">
        <x:f>'원가 기준'!$C$6</x:f>
        <x:v>154000</x:v>
      </x:c>
      <x:c r="L149" t="n">
        <x:f>'원가 기준'!$D$6</x:f>
        <x:v>1</x:v>
      </x:c>
      <x:c r="M149" t="str">
        <x:v>원/kg</x:v>
      </x:c>
      <x:c r="N149" t="str">
        <x:v>(목표-실제)×손익반영단가</x:v>
      </x:c>
    </x:row>
    <x:row r="150">
      <x:c r="A150" t="str">
        <x:f>'일별 KPI·변수'!A38</x:f>
        <x:v>2025.09.11 ~ 09.16</x:v>
      </x:c>
      <x:c r="B150" t="str">
        <x:f>'일별 KPI·변수'!B38</x:f>
        <x:v>2025-09-12</x:v>
      </x:c>
      <x:c r="C150" t="str">
        <x:v>약품 B</x:v>
      </x:c>
      <x:c r="D150" s="8" t="n">
        <x:f>'일별 KPI·변수'!W38</x:f>
        <x:v>885.4546818989519</x:v>
      </x:c>
      <x:c r="E150" s="8" t="n">
        <x:f>'원가 기준'!$G$7</x:f>
        <x:v>898.13507</x:v>
      </x:c>
      <x:c r="F150" s="8" t="n">
        <x:f>E150-D150</x:f>
        <x:v>12.680388101048152</x:v>
      </x:c>
      <x:c r="G150" s="8" t="n">
        <x:f>K150*L150</x:f>
        <x:v>128000</x:v>
      </x:c>
      <x:c r="H150" s="7" t="n">
        <x:f>F40*G40</x:f>
        <x:v>2705013.910738713</x:v>
      </x:c>
      <x:c r="I150" t="str">
        <x:f>IF(H150&gt;=0,"이익","손해")</x:f>
        <x:v>이익</x:v>
      </x:c>
      <x:c r="J150" t="str">
        <x:v>KPI_U04_CHEM_M02</x:v>
      </x:c>
      <x:c r="K150" t="n">
        <x:f>'원가 기준'!$C$7</x:f>
        <x:v>128000</x:v>
      </x:c>
      <x:c r="L150" t="n">
        <x:f>'원가 기준'!$D$7</x:f>
        <x:v>1</x:v>
      </x:c>
      <x:c r="M150" t="str">
        <x:v>원/kg</x:v>
      </x:c>
      <x:c r="N150" t="str">
        <x:v>(목표-실제)×손익반영단가</x:v>
      </x:c>
    </x:row>
    <x:row r="151">
      <x:c r="A151" t="str">
        <x:f>'일별 KPI·변수'!A38</x:f>
        <x:v>2025.09.11 ~ 09.16</x:v>
      </x:c>
      <x:c r="B151" t="str">
        <x:f>'일별 KPI·변수'!B38</x:f>
        <x:v>2025-09-12</x:v>
      </x:c>
      <x:c r="C151" t="str">
        <x:v>스팀</x:v>
      </x:c>
      <x:c r="D151" s="8" t="n">
        <x:f>'추가 변수'!B38</x:f>
        <x:v>0.2122800141327481</x:v>
      </x:c>
      <x:c r="E151" s="8" t="n">
        <x:f>IF(YEAR(B40)=2024,IF(MONTH(B40)&lt;=3,'원가 기준'!$G$8,IF(MONTH(B40)&lt;=6,'원가 기준'!$G$9,IF(MONTH(B40)&lt;=9,'원가 기준'!$G$10,'원가 기준'!$G$13))),IF(MONTH(B40)&lt;=3,'원가 기준'!$G$14,IF(MONTH(B40)&lt;=6,'원가 기준'!$G$15,'원가 기준'!$G$16)))</x:f>
        <x:v>36.5422</x:v>
      </x:c>
      <x:c r="F151" s="8" t="n">
        <x:f>E151-D151</x:f>
        <x:v>36.32991998586725</x:v>
      </x:c>
      <x:c r="G151" s="8" t="n">
        <x:f>K151*L151</x:f>
        <x:v>300</x:v>
      </x:c>
      <x:c r="H151" s="7" t="n">
        <x:f>F40*G40</x:f>
        <x:v>2705013.910738713</x:v>
      </x:c>
      <x:c r="I151" t="str">
        <x:f>IF(H151&gt;=0,"이익","손해")</x:f>
        <x:v>이익</x:v>
      </x:c>
      <x:c r="J151" t="str">
        <x:v>KPI_U04_STEAM_M01</x:v>
      </x:c>
      <x:c r="K151" t="n">
        <x:f>G40/L40</x:f>
        <x:v>300</x:v>
      </x:c>
      <x:c r="L151" t="n">
        <x:f>IF(YEAR(B40)=2024,1,1)</x:f>
        <x:v>1</x:v>
      </x:c>
      <x:c r="M151" t="str">
        <x:v>원/ton</x:v>
      </x:c>
      <x:c r="N151" t="str">
        <x:v>(목표-실제)×손익반영단가</x:v>
      </x:c>
    </x:row>
    <x:row r="152">
      <x:c r="A152" t="str">
        <x:f>'일별 KPI·변수'!A39</x:f>
        <x:v>2025.09.11 ~ 09.16</x:v>
      </x:c>
      <x:c r="B152" t="str">
        <x:f>'일별 KPI·변수'!B39</x:f>
        <x:v>2025-09-13</x:v>
      </x:c>
      <x:c r="C152" t="str">
        <x:v>가스량</x:v>
      </x:c>
      <x:c r="D152" s="8" t="n">
        <x:f>'일별 KPI·변수'!O39</x:f>
        <x:v>1052765.286441501</x:v>
      </x:c>
      <x:c r="E152" s="8" t="n">
        <x:f>IF(YEAR(B41)=2024,'원가 기준'!$G$4,'원가 기준'!$G$5)</x:f>
        <x:v>1042423.4621</x:v>
      </x:c>
      <x:c r="F152" s="8" t="n">
        <x:f>D152-E152</x:f>
        <x:v>10341.824341500993</x:v>
      </x:c>
      <x:c r="G152" s="8" t="n">
        <x:f>K152*L152</x:f>
        <x:v>90</x:v>
      </x:c>
      <x:c r="H152" s="7" t="n">
        <x:f>F41*G41</x:f>
        <x:v>256748.19585618353</x:v>
      </x:c>
      <x:c r="I152" t="str">
        <x:f>IF(H152&gt;=0,"이익","손해")</x:f>
        <x:v>이익</x:v>
      </x:c>
      <x:c r="J152" t="str">
        <x:v>KPI_U04_QTY_G01</x:v>
      </x:c>
      <x:c r="K152" t="n">
        <x:f>IF(YEAR(B41)=2024,'원가 기준'!$C$4,'원가 기준'!$C$5)</x:f>
        <x:v>300</x:v>
      </x:c>
      <x:c r="L152" t="n">
        <x:f>IF(YEAR(B41)=2024,'원가 기준'!$D$4,'원가 기준'!$D$5)</x:f>
        <x:v>0.3</x:v>
      </x:c>
      <x:c r="M152" t="str">
        <x:v>원/Nm3</x:v>
      </x:c>
      <x:c r="N152" t="str">
        <x:v>(실제-목표)×손익반영단가</x:v>
      </x:c>
    </x:row>
    <x:row r="153">
      <x:c r="A153" t="str">
        <x:f>'일별 KPI·변수'!A39</x:f>
        <x:v>2025.09.11 ~ 09.16</x:v>
      </x:c>
      <x:c r="B153" t="str">
        <x:f>'일별 KPI·변수'!B39</x:f>
        <x:v>2025-09-13</x:v>
      </x:c>
      <x:c r="C153" t="str">
        <x:v>약품 A</x:v>
      </x:c>
      <x:c r="D153" s="8" t="n">
        <x:f>'일별 KPI·변수'!V39</x:f>
        <x:v>489.7350937394599</x:v>
      </x:c>
      <x:c r="E153" s="8" t="n">
        <x:f>'원가 기준'!$G$6</x:f>
        <x:v>497.46725</x:v>
      </x:c>
      <x:c r="F153" s="8" t="n">
        <x:f>E153-D153</x:f>
        <x:v>7.73215626054008</x:v>
      </x:c>
      <x:c r="G153" s="8" t="n">
        <x:f>K153*L153</x:f>
        <x:v>154000</x:v>
      </x:c>
      <x:c r="H153" s="7" t="n">
        <x:f>F41*G41</x:f>
        <x:v>256748.19585618353</x:v>
      </x:c>
      <x:c r="I153" t="str">
        <x:f>IF(H153&gt;=0,"이익","손해")</x:f>
        <x:v>이익</x:v>
      </x:c>
      <x:c r="J153" t="str">
        <x:v>KPI_U04_CHEM_M01</x:v>
      </x:c>
      <x:c r="K153" t="n">
        <x:f>'원가 기준'!$C$6</x:f>
        <x:v>154000</x:v>
      </x:c>
      <x:c r="L153" t="n">
        <x:f>'원가 기준'!$D$6</x:f>
        <x:v>1</x:v>
      </x:c>
      <x:c r="M153" t="str">
        <x:v>원/kg</x:v>
      </x:c>
      <x:c r="N153" t="str">
        <x:v>(목표-실제)×손익반영단가</x:v>
      </x:c>
    </x:row>
    <x:row r="154">
      <x:c r="A154" t="str">
        <x:f>'일별 KPI·변수'!A39</x:f>
        <x:v>2025.09.11 ~ 09.16</x:v>
      </x:c>
      <x:c r="B154" t="str">
        <x:f>'일별 KPI·변수'!B39</x:f>
        <x:v>2025-09-13</x:v>
      </x:c>
      <x:c r="C154" t="str">
        <x:v>약품 B</x:v>
      </x:c>
      <x:c r="D154" s="8" t="n">
        <x:f>'일별 KPI·변수'!W39</x:f>
        <x:v>888.5495987841668</x:v>
      </x:c>
      <x:c r="E154" s="8" t="n">
        <x:f>'원가 기준'!$G$7</x:f>
        <x:v>898.13507</x:v>
      </x:c>
      <x:c r="F154" s="8" t="n">
        <x:f>E154-D154</x:f>
        <x:v>9.585471215833195</x:v>
      </x:c>
      <x:c r="G154" s="8" t="n">
        <x:f>K154*L154</x:f>
        <x:v>128000</x:v>
      </x:c>
      <x:c r="H154" s="7" t="n">
        <x:f>F41*G41</x:f>
        <x:v>256748.19585618353</x:v>
      </x:c>
      <x:c r="I154" t="str">
        <x:f>IF(H154&gt;=0,"이익","손해")</x:f>
        <x:v>이익</x:v>
      </x:c>
      <x:c r="J154" t="str">
        <x:v>KPI_U04_CHEM_M02</x:v>
      </x:c>
      <x:c r="K154" t="n">
        <x:f>'원가 기준'!$C$7</x:f>
        <x:v>128000</x:v>
      </x:c>
      <x:c r="L154" t="n">
        <x:f>'원가 기준'!$D$7</x:f>
        <x:v>1</x:v>
      </x:c>
      <x:c r="M154" t="str">
        <x:v>원/kg</x:v>
      </x:c>
      <x:c r="N154" t="str">
        <x:v>(목표-실제)×손익반영단가</x:v>
      </x:c>
    </x:row>
    <x:row r="155">
      <x:c r="A155" t="str">
        <x:f>'일별 KPI·변수'!A39</x:f>
        <x:v>2025.09.11 ~ 09.16</x:v>
      </x:c>
      <x:c r="B155" t="str">
        <x:f>'일별 KPI·변수'!B39</x:f>
        <x:v>2025-09-13</x:v>
      </x:c>
      <x:c r="C155" t="str">
        <x:v>스팀</x:v>
      </x:c>
      <x:c r="D155" s="8" t="n">
        <x:f>'추가 변수'!B39</x:f>
        <x:v>0.2164100779298592</x:v>
      </x:c>
      <x:c r="E155" s="8" t="n">
        <x:f>IF(YEAR(B41)=2024,IF(MONTH(B41)&lt;=3,'원가 기준'!$G$8,IF(MONTH(B41)&lt;=6,'원가 기준'!$G$9,IF(MONTH(B41)&lt;=9,'원가 기준'!$G$10,'원가 기준'!$G$13))),IF(MONTH(B41)&lt;=3,'원가 기준'!$G$14,IF(MONTH(B41)&lt;=6,'원가 기준'!$G$15,'원가 기준'!$G$16)))</x:f>
        <x:v>36.5422</x:v>
      </x:c>
      <x:c r="F155" s="8" t="n">
        <x:f>E155-D155</x:f>
        <x:v>36.32578992207014</x:v>
      </x:c>
      <x:c r="G155" s="8" t="n">
        <x:f>K155*L155</x:f>
        <x:v>154000</x:v>
      </x:c>
      <x:c r="H155" s="7" t="n">
        <x:f>F41*G41</x:f>
        <x:v>256748.19585618353</x:v>
      </x:c>
      <x:c r="I155" t="str">
        <x:f>IF(H155&gt;=0,"이익","손해")</x:f>
        <x:v>이익</x:v>
      </x:c>
      <x:c r="J155" t="str">
        <x:v>KPI_U04_STEAM_M01</x:v>
      </x:c>
      <x:c r="K155" t="n">
        <x:f>G41/L41</x:f>
        <x:v>154000</x:v>
      </x:c>
      <x:c r="L155" t="n">
        <x:f>IF(YEAR(B41)=2024,1,1)</x:f>
        <x:v>1</x:v>
      </x:c>
      <x:c r="M155" t="str">
        <x:v>원/ton</x:v>
      </x:c>
      <x:c r="N155" t="str">
        <x:v>(목표-실제)×손익반영단가</x:v>
      </x:c>
    </x:row>
    <x:row r="156">
      <x:c r="A156" t="str">
        <x:f>'일별 KPI·변수'!A40</x:f>
        <x:v>2025.09.11 ~ 09.16</x:v>
      </x:c>
      <x:c r="B156" t="str">
        <x:f>'일별 KPI·변수'!B40</x:f>
        <x:v>2025-09-14</x:v>
      </x:c>
      <x:c r="C156" t="str">
        <x:v>가스량</x:v>
      </x:c>
      <x:c r="D156" s="8" t="n">
        <x:f>'일별 KPI·변수'!O40</x:f>
        <x:v>1051898.117916781</x:v>
      </x:c>
      <x:c r="E156" s="8" t="n">
        <x:f>IF(YEAR(B42)=2024,'원가 기준'!$G$4,'원가 기준'!$G$5)</x:f>
        <x:v>1042423.4621</x:v>
      </x:c>
      <x:c r="F156" s="8" t="n">
        <x:f>D156-E156</x:f>
        <x:v>9474.655816780985</x:v>
      </x:c>
      <x:c r="G156" s="8" t="n">
        <x:f>K156*L156</x:f>
        <x:v>90</x:v>
      </x:c>
      <x:c r="H156" s="7" t="n">
        <x:f>F42*G42</x:f>
        <x:v>-129113.06238401448</x:v>
      </x:c>
      <x:c r="I156" t="str">
        <x:f>IF(H156&gt;=0,"이익","손해")</x:f>
        <x:v>손해</x:v>
      </x:c>
      <x:c r="J156" t="str">
        <x:v>KPI_U04_QTY_G01</x:v>
      </x:c>
      <x:c r="K156" t="n">
        <x:f>IF(YEAR(B42)=2024,'원가 기준'!$C$4,'원가 기준'!$C$5)</x:f>
        <x:v>300</x:v>
      </x:c>
      <x:c r="L156" t="n">
        <x:f>IF(YEAR(B42)=2024,'원가 기준'!$D$4,'원가 기준'!$D$5)</x:f>
        <x:v>0.3</x:v>
      </x:c>
      <x:c r="M156" t="str">
        <x:v>원/Nm3</x:v>
      </x:c>
      <x:c r="N156" t="str">
        <x:v>(실제-목표)×손익반영단가</x:v>
      </x:c>
    </x:row>
    <x:row r="157">
      <x:c r="A157" t="str">
        <x:f>'일별 KPI·변수'!A40</x:f>
        <x:v>2025.09.11 ~ 09.16</x:v>
      </x:c>
      <x:c r="B157" t="str">
        <x:f>'일별 KPI·변수'!B40</x:f>
        <x:v>2025-09-14</x:v>
      </x:c>
      <x:c r="C157" t="str">
        <x:v>약품 A</x:v>
      </x:c>
      <x:c r="D157" s="8" t="n">
        <x:f>'일별 KPI·변수'!V40</x:f>
        <x:v>495.2822521517792</x:v>
      </x:c>
      <x:c r="E157" s="8" t="n">
        <x:f>'원가 기준'!$G$6</x:f>
        <x:v>497.46725</x:v>
      </x:c>
      <x:c r="F157" s="8" t="n">
        <x:f>E157-D157</x:f>
        <x:v>2.184997848220803</x:v>
      </x:c>
      <x:c r="G157" s="8" t="n">
        <x:f>K157*L157</x:f>
        <x:v>154000</x:v>
      </x:c>
      <x:c r="H157" s="7" t="n">
        <x:f>F42*G42</x:f>
        <x:v>-129113.06238401448</x:v>
      </x:c>
      <x:c r="I157" t="str">
        <x:f>IF(H157&gt;=0,"이익","손해")</x:f>
        <x:v>손해</x:v>
      </x:c>
      <x:c r="J157" t="str">
        <x:v>KPI_U04_CHEM_M01</x:v>
      </x:c>
      <x:c r="K157" t="n">
        <x:f>'원가 기준'!$C$6</x:f>
        <x:v>154000</x:v>
      </x:c>
      <x:c r="L157" t="n">
        <x:f>'원가 기준'!$D$6</x:f>
        <x:v>1</x:v>
      </x:c>
      <x:c r="M157" t="str">
        <x:v>원/kg</x:v>
      </x:c>
      <x:c r="N157" t="str">
        <x:v>(목표-실제)×손익반영단가</x:v>
      </x:c>
    </x:row>
    <x:row r="158">
      <x:c r="A158" t="str">
        <x:f>'일별 KPI·변수'!A40</x:f>
        <x:v>2025.09.11 ~ 09.16</x:v>
      </x:c>
      <x:c r="B158" t="str">
        <x:f>'일별 KPI·변수'!B40</x:f>
        <x:v>2025-09-14</x:v>
      </x:c>
      <x:c r="C158" t="str">
        <x:v>약품 B</x:v>
      </x:c>
      <x:c r="D158" s="8" t="n">
        <x:f>'일별 KPI·변수'!W40</x:f>
        <x:v>893.0419433474003</x:v>
      </x:c>
      <x:c r="E158" s="8" t="n">
        <x:f>'원가 기준'!$G$7</x:f>
        <x:v>898.13507</x:v>
      </x:c>
      <x:c r="F158" s="8" t="n">
        <x:f>E158-D158</x:f>
        <x:v>5.093126652599722</x:v>
      </x:c>
      <x:c r="G158" s="8" t="n">
        <x:f>K158*L158</x:f>
        <x:v>128000</x:v>
      </x:c>
      <x:c r="H158" s="7" t="n">
        <x:f>F42*G42</x:f>
        <x:v>-129113.06238401448</x:v>
      </x:c>
      <x:c r="I158" t="str">
        <x:f>IF(H158&gt;=0,"이익","손해")</x:f>
        <x:v>손해</x:v>
      </x:c>
      <x:c r="J158" t="str">
        <x:v>KPI_U04_CHEM_M02</x:v>
      </x:c>
      <x:c r="K158" t="n">
        <x:f>'원가 기준'!$C$7</x:f>
        <x:v>128000</x:v>
      </x:c>
      <x:c r="L158" t="n">
        <x:f>'원가 기준'!$D$7</x:f>
        <x:v>1</x:v>
      </x:c>
      <x:c r="M158" t="str">
        <x:v>원/kg</x:v>
      </x:c>
      <x:c r="N158" t="str">
        <x:v>(목표-실제)×손익반영단가</x:v>
      </x:c>
    </x:row>
    <x:row r="159">
      <x:c r="A159" t="str">
        <x:f>'일별 KPI·변수'!A40</x:f>
        <x:v>2025.09.11 ~ 09.16</x:v>
      </x:c>
      <x:c r="B159" t="str">
        <x:f>'일별 KPI·변수'!B40</x:f>
        <x:v>2025-09-14</x:v>
      </x:c>
      <x:c r="C159" t="str">
        <x:v>스팀</x:v>
      </x:c>
      <x:c r="D159" s="8" t="n">
        <x:f>'추가 변수'!B40</x:f>
        <x:v>0.2171671370034871</x:v>
      </x:c>
      <x:c r="E159" s="8" t="n">
        <x:f>IF(YEAR(B42)=2024,IF(MONTH(B42)&lt;=3,'원가 기준'!$G$8,IF(MONTH(B42)&lt;=6,'원가 기준'!$G$9,IF(MONTH(B42)&lt;=9,'원가 기준'!$G$10,'원가 기준'!$G$13))),IF(MONTH(B42)&lt;=3,'원가 기준'!$G$14,IF(MONTH(B42)&lt;=6,'원가 기준'!$G$15,'원가 기준'!$G$16)))</x:f>
        <x:v>36.5422</x:v>
      </x:c>
      <x:c r="F159" s="8" t="n">
        <x:f>E159-D159</x:f>
        <x:v>36.325032862996515</x:v>
      </x:c>
      <x:c r="G159" s="8" t="n">
        <x:f>K159*L159</x:f>
        <x:v>128000</x:v>
      </x:c>
      <x:c r="H159" s="7" t="n">
        <x:f>F42*G42</x:f>
        <x:v>-129113.06238401448</x:v>
      </x:c>
      <x:c r="I159" t="str">
        <x:f>IF(H159&gt;=0,"이익","손해")</x:f>
        <x:v>손해</x:v>
      </x:c>
      <x:c r="J159" t="str">
        <x:v>KPI_U04_STEAM_M01</x:v>
      </x:c>
      <x:c r="K159" t="n">
        <x:f>G42/L42</x:f>
        <x:v>128000</x:v>
      </x:c>
      <x:c r="L159" t="n">
        <x:f>IF(YEAR(B42)=2024,1,1)</x:f>
        <x:v>1</x:v>
      </x:c>
      <x:c r="M159" t="str">
        <x:v>원/ton</x:v>
      </x:c>
      <x:c r="N159" t="str">
        <x:v>(목표-실제)×손익반영단가</x:v>
      </x:c>
    </x:row>
    <x:row r="160">
      <x:c r="A160" t="str">
        <x:f>'일별 KPI·변수'!A41</x:f>
        <x:v>2025.09.11 ~ 09.16</x:v>
      </x:c>
      <x:c r="B160" t="str">
        <x:f>'일별 KPI·변수'!B41</x:f>
        <x:v>2025-09-15</x:v>
      </x:c>
      <x:c r="C160" t="str">
        <x:v>가스량</x:v>
      </x:c>
      <x:c r="D160" s="8" t="n">
        <x:f>'일별 KPI·변수'!O41</x:f>
        <x:v>1056436.570667152</x:v>
      </x:c>
      <x:c r="E160" s="8" t="n">
        <x:f>IF(YEAR(B43)=2024,'원가 기준'!$G$4,'원가 기준'!$G$5)</x:f>
        <x:v>1042423.4621</x:v>
      </x:c>
      <x:c r="F160" s="8" t="n">
        <x:f>D160-E160</x:f>
        <x:v>14013.108567152056</x:v>
      </x:c>
      <x:c r="G160" s="8" t="n">
        <x:f>K160*L160</x:f>
        <x:v>90</x:v>
      </x:c>
      <x:c r="H160" s="7" t="n">
        <x:f>F43*G43</x:f>
        <x:v>5572755.900848622</x:v>
      </x:c>
      <x:c r="I160" t="str">
        <x:f>IF(H160&gt;=0,"이익","손해")</x:f>
        <x:v>이익</x:v>
      </x:c>
      <x:c r="J160" t="str">
        <x:v>KPI_U04_QTY_G01</x:v>
      </x:c>
      <x:c r="K160" t="n">
        <x:f>IF(YEAR(B43)=2024,'원가 기준'!$C$4,'원가 기준'!$C$5)</x:f>
        <x:v>300</x:v>
      </x:c>
      <x:c r="L160" t="n">
        <x:f>IF(YEAR(B43)=2024,'원가 기준'!$D$4,'원가 기준'!$D$5)</x:f>
        <x:v>0.3</x:v>
      </x:c>
      <x:c r="M160" t="str">
        <x:v>원/Nm3</x:v>
      </x:c>
      <x:c r="N160" t="str">
        <x:v>(실제-목표)×손익반영단가</x:v>
      </x:c>
    </x:row>
    <x:row r="161">
      <x:c r="A161" t="str">
        <x:f>'일별 KPI·변수'!A41</x:f>
        <x:v>2025.09.11 ~ 09.16</x:v>
      </x:c>
      <x:c r="B161" t="str">
        <x:f>'일별 KPI·변수'!B41</x:f>
        <x:v>2025-09-15</x:v>
      </x:c>
      <x:c r="C161" t="str">
        <x:v>약품 A</x:v>
      </x:c>
      <x:c r="D161" s="8" t="n">
        <x:f>'일별 KPI·변수'!V41</x:f>
        <x:v>496.9170042708127</x:v>
      </x:c>
      <x:c r="E161" s="8" t="n">
        <x:f>'원가 기준'!$G$6</x:f>
        <x:v>497.46725</x:v>
      </x:c>
      <x:c r="F161" s="8" t="n">
        <x:f>E161-D161</x:f>
        <x:v>0.5502457291872815</x:v>
      </x:c>
      <x:c r="G161" s="8" t="n">
        <x:f>K161*L161</x:f>
        <x:v>154000</x:v>
      </x:c>
      <x:c r="H161" s="7" t="n">
        <x:f>F43*G43</x:f>
        <x:v>5572755.900848622</x:v>
      </x:c>
      <x:c r="I161" t="str">
        <x:f>IF(H161&gt;=0,"이익","손해")</x:f>
        <x:v>이익</x:v>
      </x:c>
      <x:c r="J161" t="str">
        <x:v>KPI_U04_CHEM_M01</x:v>
      </x:c>
      <x:c r="K161" t="n">
        <x:f>'원가 기준'!$C$6</x:f>
        <x:v>154000</x:v>
      </x:c>
      <x:c r="L161" t="n">
        <x:f>'원가 기준'!$D$6</x:f>
        <x:v>1</x:v>
      </x:c>
      <x:c r="M161" t="str">
        <x:v>원/kg</x:v>
      </x:c>
      <x:c r="N161" t="str">
        <x:v>(목표-실제)×손익반영단가</x:v>
      </x:c>
    </x:row>
    <x:row r="162">
      <x:c r="A162" t="str">
        <x:f>'일별 KPI·변수'!A41</x:f>
        <x:v>2025.09.11 ~ 09.16</x:v>
      </x:c>
      <x:c r="B162" t="str">
        <x:f>'일별 KPI·변수'!B41</x:f>
        <x:v>2025-09-15</x:v>
      </x:c>
      <x:c r="C162" t="str">
        <x:v>약품 B</x:v>
      </x:c>
      <x:c r="D162" s="8" t="n">
        <x:f>'일별 KPI·변수'!W41</x:f>
        <x:v>883.0920542151074</x:v>
      </x:c>
      <x:c r="E162" s="8" t="n">
        <x:f>'원가 기준'!$G$7</x:f>
        <x:v>898.13507</x:v>
      </x:c>
      <x:c r="F162" s="8" t="n">
        <x:f>E162-D162</x:f>
        <x:v>15.043015784892646</x:v>
      </x:c>
      <x:c r="G162" s="8" t="n">
        <x:f>K162*L162</x:f>
        <x:v>128000</x:v>
      </x:c>
      <x:c r="H162" s="7" t="n">
        <x:f>F43*G43</x:f>
        <x:v>5572755.900848622</x:v>
      </x:c>
      <x:c r="I162" t="str">
        <x:f>IF(H162&gt;=0,"이익","손해")</x:f>
        <x:v>이익</x:v>
      </x:c>
      <x:c r="J162" t="str">
        <x:v>KPI_U04_CHEM_M02</x:v>
      </x:c>
      <x:c r="K162" t="n">
        <x:f>'원가 기준'!$C$7</x:f>
        <x:v>128000</x:v>
      </x:c>
      <x:c r="L162" t="n">
        <x:f>'원가 기준'!$D$7</x:f>
        <x:v>1</x:v>
      </x:c>
      <x:c r="M162" t="str">
        <x:v>원/kg</x:v>
      </x:c>
      <x:c r="N162" t="str">
        <x:v>(목표-실제)×손익반영단가</x:v>
      </x:c>
    </x:row>
    <x:row r="163">
      <x:c r="A163" t="str">
        <x:f>'일별 KPI·변수'!A41</x:f>
        <x:v>2025.09.11 ~ 09.16</x:v>
      </x:c>
      <x:c r="B163" t="str">
        <x:f>'일별 KPI·변수'!B41</x:f>
        <x:v>2025-09-15</x:v>
      </x:c>
      <x:c r="C163" t="str">
        <x:v>스팀</x:v>
      </x:c>
      <x:c r="D163" s="8" t="n">
        <x:f>'추가 변수'!B41</x:f>
        <x:v>0.2141308834413335</x:v>
      </x:c>
      <x:c r="E163" s="8" t="n">
        <x:f>IF(YEAR(B43)=2024,IF(MONTH(B43)&lt;=3,'원가 기준'!$G$8,IF(MONTH(B43)&lt;=6,'원가 기준'!$G$9,IF(MONTH(B43)&lt;=9,'원가 기준'!$G$10,'원가 기준'!$G$13))),IF(MONTH(B43)&lt;=3,'원가 기준'!$G$14,IF(MONTH(B43)&lt;=6,'원가 기준'!$G$15,'원가 기준'!$G$16)))</x:f>
        <x:v>36.5422</x:v>
      </x:c>
      <x:c r="F163" s="8" t="n">
        <x:f>E163-D163</x:f>
        <x:v>36.328069116558666</x:v>
      </x:c>
      <x:c r="G163" s="8" t="n">
        <x:f>K163*L163</x:f>
        <x:v>154000</x:v>
      </x:c>
      <x:c r="H163" s="7" t="n">
        <x:f>F43*G43</x:f>
        <x:v>5572755.900848622</x:v>
      </x:c>
      <x:c r="I163" t="str">
        <x:f>IF(H163&gt;=0,"이익","손해")</x:f>
        <x:v>이익</x:v>
      </x:c>
      <x:c r="J163" t="str">
        <x:v>KPI_U04_STEAM_M01</x:v>
      </x:c>
      <x:c r="K163" t="n">
        <x:f>G43/L43</x:f>
        <x:v>154000</x:v>
      </x:c>
      <x:c r="L163" t="n">
        <x:f>IF(YEAR(B43)=2024,1,1)</x:f>
        <x:v>1</x:v>
      </x:c>
      <x:c r="M163" t="str">
        <x:v>원/ton</x:v>
      </x:c>
      <x:c r="N163" t="str">
        <x:v>(목표-실제)×손익반영단가</x:v>
      </x:c>
    </x:row>
    <x:row r="164">
      <x:c r="A164" t="str">
        <x:f>'일별 KPI·변수'!A42</x:f>
        <x:v>2025.09.11 ~ 09.16</x:v>
      </x:c>
      <x:c r="B164" t="str">
        <x:f>'일별 KPI·변수'!B42</x:f>
        <x:v>2025-09-16</x:v>
      </x:c>
      <x:c r="C164" t="str">
        <x:v>가스량</x:v>
      </x:c>
      <x:c r="D164" s="8" t="n">
        <x:f>'일별 KPI·변수'!O42</x:f>
        <x:v>1037871.581276113</x:v>
      </x:c>
      <x:c r="E164" s="8" t="n">
        <x:f>IF(YEAR(B44)=2024,'원가 기준'!$G$4,'원가 기준'!$G$5)</x:f>
        <x:v>1042423.4621</x:v>
      </x:c>
      <x:c r="F164" s="8" t="n">
        <x:f>D164-E164</x:f>
        <x:v>-4551.880823886953</x:v>
      </x:c>
      <x:c r="G164" s="8" t="n">
        <x:f>K164*L164</x:f>
        <x:v>90</x:v>
      </x:c>
      <x:c r="H164" s="7" t="n">
        <x:f>F44*G44</x:f>
        <x:v>336358.5305784282</x:v>
      </x:c>
      <x:c r="I164" t="str">
        <x:f>IF(H164&gt;=0,"이익","손해")</x:f>
        <x:v>이익</x:v>
      </x:c>
      <x:c r="J164" t="str">
        <x:v>KPI_U04_QTY_G01</x:v>
      </x:c>
      <x:c r="K164" t="n">
        <x:f>IF(YEAR(B44)=2024,'원가 기준'!$C$4,'원가 기준'!$C$5)</x:f>
        <x:v>300</x:v>
      </x:c>
      <x:c r="L164" t="n">
        <x:f>IF(YEAR(B44)=2024,'원가 기준'!$D$4,'원가 기준'!$D$5)</x:f>
        <x:v>0.3</x:v>
      </x:c>
      <x:c r="M164" t="str">
        <x:v>원/Nm3</x:v>
      </x:c>
      <x:c r="N164" t="str">
        <x:v>(실제-목표)×손익반영단가</x:v>
      </x:c>
    </x:row>
    <x:row r="165">
      <x:c r="A165" t="str">
        <x:f>'일별 KPI·변수'!A42</x:f>
        <x:v>2025.09.11 ~ 09.16</x:v>
      </x:c>
      <x:c r="B165" t="str">
        <x:f>'일별 KPI·변수'!B42</x:f>
        <x:v>2025-09-16</x:v>
      </x:c>
      <x:c r="C165" t="str">
        <x:v>약품 A</x:v>
      </x:c>
      <x:c r="D165" s="8" t="n">
        <x:f>'일별 KPI·변수'!V42</x:f>
        <x:v>493.2429924959957</x:v>
      </x:c>
      <x:c r="E165" s="8" t="n">
        <x:f>'원가 기준'!$G$6</x:f>
        <x:v>497.46725</x:v>
      </x:c>
      <x:c r="F165" s="8" t="n">
        <x:f>E165-D165</x:f>
        <x:v>4.224257504004299</x:v>
      </x:c>
      <x:c r="G165" s="8" t="n">
        <x:f>K165*L165</x:f>
        <x:v>154000</x:v>
      </x:c>
      <x:c r="H165" s="7" t="n">
        <x:f>F44*G44</x:f>
        <x:v>336358.5305784282</x:v>
      </x:c>
      <x:c r="I165" t="str">
        <x:f>IF(H165&gt;=0,"이익","손해")</x:f>
        <x:v>이익</x:v>
      </x:c>
      <x:c r="J165" t="str">
        <x:v>KPI_U04_CHEM_M01</x:v>
      </x:c>
      <x:c r="K165" t="n">
        <x:f>'원가 기준'!$C$6</x:f>
        <x:v>154000</x:v>
      </x:c>
      <x:c r="L165" t="n">
        <x:f>'원가 기준'!$D$6</x:f>
        <x:v>1</x:v>
      </x:c>
      <x:c r="M165" t="str">
        <x:v>원/kg</x:v>
      </x:c>
      <x:c r="N165" t="str">
        <x:v>(목표-실제)×손익반영단가</x:v>
      </x:c>
    </x:row>
    <x:row r="166">
      <x:c r="A166" t="str">
        <x:f>'일별 KPI·변수'!A42</x:f>
        <x:v>2025.09.11 ~ 09.16</x:v>
      </x:c>
      <x:c r="B166" t="str">
        <x:f>'일별 KPI·변수'!B42</x:f>
        <x:v>2025-09-16</x:v>
      </x:c>
      <x:c r="C166" t="str">
        <x:v>약품 B</x:v>
      </x:c>
      <x:c r="D166" s="8" t="n">
        <x:f>'일별 KPI·변수'!W42</x:f>
        <x:v>881.2087726292634</x:v>
      </x:c>
      <x:c r="E166" s="8" t="n">
        <x:f>'원가 기준'!$G$7</x:f>
        <x:v>898.13507</x:v>
      </x:c>
      <x:c r="F166" s="8" t="n">
        <x:f>E166-D166</x:f>
        <x:v>16.92629737073662</x:v>
      </x:c>
      <x:c r="G166" s="8" t="n">
        <x:f>K166*L166</x:f>
        <x:v>128000</x:v>
      </x:c>
      <x:c r="H166" s="7" t="n">
        <x:f>F44*G44</x:f>
        <x:v>336358.5305784282</x:v>
      </x:c>
      <x:c r="I166" t="str">
        <x:f>IF(H166&gt;=0,"이익","손해")</x:f>
        <x:v>이익</x:v>
      </x:c>
      <x:c r="J166" t="str">
        <x:v>KPI_U04_CHEM_M02</x:v>
      </x:c>
      <x:c r="K166" t="n">
        <x:f>'원가 기준'!$C$7</x:f>
        <x:v>128000</x:v>
      </x:c>
      <x:c r="L166" t="n">
        <x:f>'원가 기준'!$D$7</x:f>
        <x:v>1</x:v>
      </x:c>
      <x:c r="M166" t="str">
        <x:v>원/kg</x:v>
      </x:c>
      <x:c r="N166" t="str">
        <x:v>(목표-실제)×손익반영단가</x:v>
      </x:c>
    </x:row>
    <x:row r="167">
      <x:c r="A167" t="str">
        <x:f>'일별 KPI·변수'!A42</x:f>
        <x:v>2025.09.11 ~ 09.16</x:v>
      </x:c>
      <x:c r="B167" t="str">
        <x:f>'일별 KPI·변수'!B42</x:f>
        <x:v>2025-09-16</x:v>
      </x:c>
      <x:c r="C167" t="str">
        <x:v>스팀</x:v>
      </x:c>
      <x:c r="D167" s="8" t="n">
        <x:f>'추가 변수'!B42</x:f>
        <x:v>0.222983834367865</x:v>
      </x:c>
      <x:c r="E167" s="8" t="n">
        <x:f>IF(YEAR(B44)=2024,IF(MONTH(B44)&lt;=3,'원가 기준'!$G$8,IF(MONTH(B44)&lt;=6,'원가 기준'!$G$9,IF(MONTH(B44)&lt;=9,'원가 기준'!$G$10,'원가 기준'!$G$13))),IF(MONTH(B44)&lt;=3,'원가 기준'!$G$14,IF(MONTH(B44)&lt;=6,'원가 기준'!$G$15,'원가 기준'!$G$16)))</x:f>
        <x:v>36.5422</x:v>
      </x:c>
      <x:c r="F167" s="8" t="n">
        <x:f>E167-D167</x:f>
        <x:v>36.319216165632135</x:v>
      </x:c>
      <x:c r="G167" s="8" t="n">
        <x:f>K167*L167</x:f>
        <x:v>300</x:v>
      </x:c>
      <x:c r="H167" s="7" t="n">
        <x:f>F44*G44</x:f>
        <x:v>336358.5305784282</x:v>
      </x:c>
      <x:c r="I167" t="str">
        <x:f>IF(H167&gt;=0,"이익","손해")</x:f>
        <x:v>이익</x:v>
      </x:c>
      <x:c r="J167" t="str">
        <x:v>KPI_U04_STEAM_M01</x:v>
      </x:c>
      <x:c r="K167" t="n">
        <x:f>G44/L44</x:f>
        <x:v>300</x:v>
      </x:c>
      <x:c r="L167" t="n">
        <x:f>IF(YEAR(B44)=2024,1,1)</x:f>
        <x:v>1</x:v>
      </x:c>
      <x:c r="M167" t="str">
        <x:v>원/ton</x:v>
      </x:c>
      <x:c r="N167" t="str">
        <x:v>(목표-실제)×손익반영단가</x:v>
      </x:c>
    </x:row>
    <x:row r="168">
      <x:c r="A168" t="str">
        <x:v>합계</x:v>
      </x:c>
      <x:c r="B168"/>
      <x:c r="C168"/>
      <x:c r="D168"/>
      <x:c r="E168"/>
      <x:c r="F168"/>
      <x:c r="G168"/>
      <x:c r="H168" s="7" t="n">
        <x:f>SUM(H4:H167)</x:f>
        <x:v>217059375.36406052</x:v>
      </x:c>
      <x:c r="I168" t="str">
        <x:f>IF(H168&gt;=0,"총 이익","총 손해")</x:f>
        <x:v>총 이익</x:v>
      </x:c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4" t="str">
        <x:v>원가 기준 및 산식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3">
      <x:c r="A3" s="6" t="str">
        <x:v>원가항목</x:v>
      </x:c>
      <x:c r="B3" s="6" t="str">
        <x:v>적용기간</x:v>
      </x:c>
      <x:c r="C3" s="6" t="str">
        <x:v>기본단가</x:v>
      </x:c>
      <x:c r="D3" s="6" t="str">
        <x:v>손익적용률</x:v>
      </x:c>
      <x:c r="E3" s="6" t="str">
        <x:v>손익반영단가</x:v>
      </x:c>
      <x:c r="F3" s="6" t="str">
        <x:v>단위</x:v>
      </x:c>
      <x:c r="G3" s="6" t="str">
        <x:v>목표 일평균</x:v>
      </x:c>
    </x:row>
    <x:row r="4">
      <x:c r="A4" t="str">
        <x:v>가스량</x:v>
      </x:c>
      <x:c r="B4" t="str">
        <x:v>2024</x:v>
      </x:c>
      <x:c r="C4" t="n">
        <x:v>300</x:v>
      </x:c>
      <x:c r="D4" t="n">
        <x:v>0.3</x:v>
      </x:c>
      <x:c r="E4" t="n">
        <x:f>C4*D4</x:f>
        <x:v>90</x:v>
      </x:c>
      <x:c r="F4" t="str">
        <x:v>원/Nm3</x:v>
      </x:c>
      <x:c r="G4" t="n">
        <x:v>1042423.4621</x:v>
      </x:c>
    </x:row>
    <x:row r="5">
      <x:c r="A5" t="str">
        <x:v>가스량</x:v>
      </x:c>
      <x:c r="B5" t="str">
        <x:v>2025</x:v>
      </x:c>
      <x:c r="C5" t="n">
        <x:v>300</x:v>
      </x:c>
      <x:c r="D5" t="n">
        <x:v>0.3</x:v>
      </x:c>
      <x:c r="E5" t="n">
        <x:f>C5*D5</x:f>
        <x:v>90</x:v>
      </x:c>
      <x:c r="F5" t="str">
        <x:v>원/Nm3</x:v>
      </x:c>
      <x:c r="G5" t="n">
        <x:v>1042423.4621</x:v>
      </x:c>
    </x:row>
    <x:row r="6">
      <x:c r="A6" t="str">
        <x:v>약품 A</x:v>
      </x:c>
      <x:c r="B6" t="str">
        <x:v>전체</x:v>
      </x:c>
      <x:c r="C6" t="n">
        <x:v>154000</x:v>
      </x:c>
      <x:c r="D6" t="n">
        <x:v>1</x:v>
      </x:c>
      <x:c r="E6" t="n">
        <x:f>C6*D6</x:f>
        <x:v>154000</x:v>
      </x:c>
      <x:c r="F6" t="str">
        <x:v>원/kg</x:v>
      </x:c>
      <x:c r="G6" t="n">
        <x:v>497.46725</x:v>
      </x:c>
    </x:row>
    <x:row r="7">
      <x:c r="A7" t="str">
        <x:v>약품 B</x:v>
      </x:c>
      <x:c r="B7" t="str">
        <x:v>전체</x:v>
      </x:c>
      <x:c r="C7" t="n">
        <x:v>128000</x:v>
      </x:c>
      <x:c r="D7" t="n">
        <x:v>1</x:v>
      </x:c>
      <x:c r="E7" t="n">
        <x:f>C7*D7</x:f>
        <x:v>128000</x:v>
      </x:c>
      <x:c r="F7" t="str">
        <x:v>원/kg</x:v>
      </x:c>
      <x:c r="G7" t="n">
        <x:v>898.13507</x:v>
      </x:c>
    </x:row>
    <x:row r="8">
      <x:c r="A8" t="str">
        <x:v>스팀</x:v>
      </x:c>
      <x:c r="B8" t="str">
        <x:v>2024_Q1</x:v>
      </x:c>
      <x:c r="C8" t="n">
        <x:v>1400000</x:v>
      </x:c>
      <x:c r="D8" t="n">
        <x:v>1</x:v>
      </x:c>
      <x:c r="E8" t="n">
        <x:f>C8*D8</x:f>
        <x:v>1400000</x:v>
      </x:c>
      <x:c r="F8" t="str">
        <x:v>원/ton</x:v>
      </x:c>
      <x:c r="G8" t="n">
        <x:v>36.4426</x:v>
      </x:c>
    </x:row>
    <x:row r="9">
      <x:c r="A9" t="str">
        <x:v>스팀</x:v>
      </x:c>
      <x:c r="B9" t="str">
        <x:v>2024_Q2</x:v>
      </x:c>
      <x:c r="C9" t="n">
        <x:v>1500000</x:v>
      </x:c>
      <x:c r="D9" t="n">
        <x:v>1</x:v>
      </x:c>
      <x:c r="E9" t="n">
        <x:f>C9*D9</x:f>
        <x:v>1500000</x:v>
      </x:c>
      <x:c r="F9" t="str">
        <x:v>원/ton</x:v>
      </x:c>
      <x:c r="G9" t="n">
        <x:v>36.5422</x:v>
      </x:c>
    </x:row>
    <x:row r="10">
      <x:c r="A10" t="str">
        <x:v>스팀</x:v>
      </x:c>
      <x:c r="B10" t="str">
        <x:v>2024_Q3</x:v>
      </x:c>
      <x:c r="C10" t="n">
        <x:v>1600000</x:v>
      </x:c>
      <x:c r="D10" t="n">
        <x:v>1</x:v>
      </x:c>
      <x:c r="E10" t="n">
        <x:f>C10*D10</x:f>
        <x:v>1600000</x:v>
      </x:c>
      <x:c r="F10" t="str">
        <x:v>원/ton</x:v>
      </x:c>
      <x:c r="G10" t="n">
        <x:v>36.5422</x:v>
      </x:c>
    </x:row>
    <x:row r="12">
      <x:c r="A12" s="6" t="str">
        <x:v>원가항목</x:v>
      </x:c>
      <x:c r="B12" s="6" t="str">
        <x:v>적용기간</x:v>
      </x:c>
      <x:c r="C12" s="6" t="str">
        <x:v>기본단가</x:v>
      </x:c>
      <x:c r="D12" s="6" t="str">
        <x:v>손익적용률</x:v>
      </x:c>
      <x:c r="E12" s="6" t="str">
        <x:v>손익반영단가</x:v>
      </x:c>
      <x:c r="F12" s="6" t="str">
        <x:v>단위</x:v>
      </x:c>
      <x:c r="G12" s="6" t="str">
        <x:v>목표 일평균</x:v>
      </x:c>
    </x:row>
    <x:row r="13">
      <x:c r="A13" t="str">
        <x:v>스팀</x:v>
      </x:c>
      <x:c r="B13" t="str">
        <x:v>2024_Q4</x:v>
      </x:c>
      <x:c r="C13" t="n">
        <x:v>1500000</x:v>
      </x:c>
      <x:c r="D13" t="n">
        <x:v>1</x:v>
      </x:c>
      <x:c r="E13" t="n">
        <x:f>C13*D13</x:f>
        <x:v>1500000</x:v>
      </x:c>
      <x:c r="F13" t="str">
        <x:v>원/ton</x:v>
      </x:c>
      <x:c r="G13" t="n">
        <x:v>36.5422</x:v>
      </x:c>
    </x:row>
    <x:row r="14">
      <x:c r="A14" t="str">
        <x:v>스팀</x:v>
      </x:c>
      <x:c r="B14" t="str">
        <x:v>2025_Q1</x:v>
      </x:c>
      <x:c r="C14" t="n">
        <x:v>1600000</x:v>
      </x:c>
      <x:c r="D14" t="n">
        <x:v>1</x:v>
      </x:c>
      <x:c r="E14" t="n">
        <x:f>C14*D14</x:f>
        <x:v>1600000</x:v>
      </x:c>
      <x:c r="F14" t="str">
        <x:v>원/ton</x:v>
      </x:c>
      <x:c r="G14" t="n">
        <x:v>36.5422</x:v>
      </x:c>
    </x:row>
    <x:row r="15">
      <x:c r="A15" t="str">
        <x:v>스팀</x:v>
      </x:c>
      <x:c r="B15" t="str">
        <x:v>2025_Q2</x:v>
      </x:c>
      <x:c r="C15" t="n">
        <x:v>1700000</x:v>
      </x:c>
      <x:c r="D15" t="n">
        <x:v>1</x:v>
      </x:c>
      <x:c r="E15" t="n">
        <x:f>C15*D15</x:f>
        <x:v>1700000</x:v>
      </x:c>
      <x:c r="F15" t="str">
        <x:v>원/ton</x:v>
      </x:c>
      <x:c r="G15" t="n">
        <x:v>36.5422</x:v>
      </x:c>
    </x:row>
    <x:row r="16">
      <x:c r="A16" t="str">
        <x:v>스팀</x:v>
      </x:c>
      <x:c r="B16" t="str">
        <x:v>2025_Q3</x:v>
      </x:c>
      <x:c r="C16" t="n">
        <x:v>1800000</x:v>
      </x:c>
      <x:c r="D16" t="n">
        <x:v>1</x:v>
      </x:c>
      <x:c r="E16" t="n">
        <x:f>C16*D16</x:f>
        <x:v>1800000</x:v>
      </x:c>
      <x:c r="F16" t="str">
        <x:v>원/ton</x:v>
      </x:c>
      <x:c r="G16" t="n">
        <x:v>36.5422</x:v>
      </x:c>
    </x:row>
    <x:row r="18">
      <x:c r="A18" t="str">
        <x:v>산식</x:v>
      </x:c>
      <x:c r="B18" t="str">
        <x:v>계산</x:v>
      </x:c>
      <x:c r="C18" t="str">
        <x:v>해석</x:v>
      </x:c>
      <x:c r="D18" t="str">
        <x:v>출처</x:v>
      </x:c>
    </x:row>
    <x:row r="19">
      <x:c r="A19" t="str">
        <x:v>가스량</x:v>
      </x:c>
      <x:c r="B19" t="str">
        <x:v>(실제-목표)×손익반영단가</x:v>
      </x:c>
      <x:c r="C19" t="str">
        <x:v>양수=이익 / 음수=손해</x:v>
      </x:c>
      <x:c r="D19" t="str">
        <x:v>COG_합성데이터_2024_2025.xlsx 원가_산식</x:v>
      </x:c>
    </x:row>
    <x:row r="20">
      <x:c r="A20" t="str">
        <x:v>약품 A/B</x:v>
      </x:c>
      <x:c r="B20" t="str">
        <x:v>(목표-실제)×손익반영단가</x:v>
      </x:c>
      <x:c r="C20" t="str">
        <x:v>양수=이익 / 음수=손해</x:v>
      </x:c>
      <x:c r="D20" t="str">
        <x:v>COG_합성데이터_2024_2025.xlsx 원가_산식</x:v>
      </x:c>
    </x:row>
    <x:row r="21">
      <x:c r="A21" t="str">
        <x:v>스팀</x:v>
      </x:c>
      <x:c r="B21" t="str">
        <x:v>(목표-실제)×손익반영단가</x:v>
      </x:c>
      <x:c r="C21" t="str">
        <x:v>양수=이익 / 음수=손해</x:v>
      </x:c>
      <x:c r="D21" t="str">
        <x:v>COG_합성데이터_2024_2025.xlsx 원가_산식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" t="str">
        <x:v>원본 및 산식 설명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t="str">
        <x:v>원본 파일</x:v>
      </x:c>
      <x:c r="B2" t="str">
        <x:v>산출물/COG_합성데이터_2024_2025.xlsx</x:v>
      </x:c>
      <x:c r="C2"/>
      <x:c r="D2"/>
    </x:row>
    <x:row r="3">
      <x:c r="A3" t="str">
        <x:v>참조 시트</x:v>
      </x:c>
      <x:c r="B3" t="str">
        <x:v>일별_KPI_집계</x:v>
      </x:c>
      <x:c r="C3" t="str">
        <x:v>원가_산식</x:v>
      </x:c>
      <x:c r="D3" t="str">
        <x:v>원가_단가설정</x:v>
      </x:c>
    </x:row>
    <x:row r="4">
      <x:c r="A4" t="str">
        <x:v>원본 범위</x:v>
      </x:c>
      <x:c r="B4" t="str">
        <x:v>2024-01-01 ~ 2025-12-31</x:v>
      </x:c>
      <x:c r="C4"/>
      <x:c r="D4"/>
    </x:row>
    <x:row r="5">
      <x:c r="A5" t="str">
        <x:v>집계 기준</x:v>
      </x:c>
      <x:c r="B5" t="str">
        <x:v>07:00 ~ 익일 07:00 조업일</x:v>
      </x:c>
      <x:c r="C5"/>
      <x:c r="D5"/>
    </x:row>
    <x:row r="6">
      <x:c r="A6" t="str">
        <x:v>데이터 성격</x:v>
      </x:c>
      <x:c r="B6" t="str">
        <x:v>교육용 합성 데이터</x:v>
      </x:c>
      <x:c r="C6"/>
      <x:c r="D6"/>
    </x:row>
    <x:row r="7">
      <x:c r="A7" t="str">
        <x:v>화면/서비스 조회</x:v>
      </x:c>
      <x:c r="B7" t="str">
        <x:v>미사용</x:v>
      </x:c>
      <x:c r="C7"/>
      <x:c r="D7"/>
    </x:row>
  </x:sheetData>
  <x:pageMargins left="0.7" right="0.7" top="0.75" bottom="0.75" header="0.3" footer="0.3"/>
</x:worksheet>
</file>