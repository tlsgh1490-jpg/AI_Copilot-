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c20b7e8b8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b26c364145ed43b4"/>
    <x:sheet xmlns:r="http://schemas.openxmlformats.org/officeDocument/2006/relationships" name="일별 KPI·변수" sheetId="2" r:id="R6b21d77e9fd94af2"/>
    <x:sheet xmlns:r="http://schemas.openxmlformats.org/officeDocument/2006/relationships" name="추가 변수" sheetId="3" r:id="R8edd2cf15a4145de"/>
    <x:sheet xmlns:r="http://schemas.openxmlformats.org/officeDocument/2006/relationships" name="원가 영향도" sheetId="4" r:id="R3444ca007ce84cf1"/>
    <x:sheet xmlns:r="http://schemas.openxmlformats.org/officeDocument/2006/relationships" name="원가 기준" sheetId="5" r:id="R4ca68beaa6be4a66"/>
    <x:sheet xmlns:r="http://schemas.openxmlformats.org/officeDocument/2006/relationships" name="원본·산식 설명" sheetId="6" r:id="Re4a59d897c304de6"/>
    <x:sheet xmlns:r="http://schemas.openxmlformats.org/officeDocument/2006/relationships" name="최종 기간집계" sheetId="7" r:id="R85e892c7fb094df2"/>
    <x:sheet xmlns:r="http://schemas.openxmlformats.org/officeDocument/2006/relationships" name="최종 원가 손익영향" sheetId="8" r:id="R4c4903767319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65b32baae4b88" /><Relationship Type="http://schemas.openxmlformats.org/officeDocument/2006/relationships/theme" Target="/xl/theme/theme1.xml" Id="R4d6a96bc72d14b45" /><Relationship Type="http://schemas.openxmlformats.org/officeDocument/2006/relationships/sharedStrings" Target="/xl/sharedStrings.xml" Id="Re0b6ef08483b4762" /><Relationship Type="http://schemas.openxmlformats.org/officeDocument/2006/relationships/worksheet" Target="/xl/worksheets/sheet1.xml" Id="Rb26c364145ed43b4" /><Relationship Type="http://schemas.openxmlformats.org/officeDocument/2006/relationships/worksheet" Target="/xl/worksheets/sheet2.xml" Id="R6b21d77e9fd94af2" /><Relationship Type="http://schemas.openxmlformats.org/officeDocument/2006/relationships/worksheet" Target="/xl/worksheets/sheet3.xml" Id="R8edd2cf15a4145de" /><Relationship Type="http://schemas.openxmlformats.org/officeDocument/2006/relationships/worksheet" Target="/xl/worksheets/sheet4.xml" Id="R3444ca007ce84cf1" /><Relationship Type="http://schemas.openxmlformats.org/officeDocument/2006/relationships/worksheet" Target="/xl/worksheets/sheet5.xml" Id="R4ca68beaa6be4a66" /><Relationship Type="http://schemas.openxmlformats.org/officeDocument/2006/relationships/worksheet" Target="/xl/worksheets/sheet6.xml" Id="Re4a59d897c304de6" /><Relationship Type="http://schemas.openxmlformats.org/officeDocument/2006/relationships/worksheet" Target="/xl/worksheets/sheet7.xml" Id="R85e892c7fb094df2" /><Relationship Type="http://schemas.openxmlformats.org/officeDocument/2006/relationships/worksheet" Target="/xl/worksheets/sheet8.xml" Id="R4c4903767319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1" t="str">
        <x:v>화면 표시명</x:v>
      </x:c>
      <x:c r="B1" s="11" t="str">
        <x:v>설비가동율</x:v>
      </x:c>
      <x:c r="C1" s="11" t="str">
        <x:v>원료 투입량</x:v>
      </x:c>
      <x:c r="D1" s="11" t="str">
        <x:v>휘발분(VM)</x:v>
      </x:c>
      <x:c r="E1" s="11" t="str">
        <x:v>수소 농도</x:v>
      </x:c>
      <x:c r="F1" s="11" t="str">
        <x:v>가스 유량</x:v>
      </x:c>
      <x:c r="G1" s="11" t="str">
        <x:v>혼합비</x:v>
      </x:c>
      <x:c r="H1" s="11" t="str">
        <x:v>가스 입구온도</x:v>
      </x:c>
      <x:c r="I1" s="11" t="str">
        <x:v>가스 출구온도</x:v>
      </x:c>
      <x:c r="J1" s="11" t="str">
        <x:v>설비 차압</x:v>
      </x:c>
      <x:c r="K1" s="11" t="str">
        <x:v>온도 D01</x:v>
      </x:c>
      <x:c r="L1" s="11" t="str">
        <x:v>유량 D02</x:v>
      </x:c>
      <x:c r="M1" s="11" t="str">
        <x:v>변수 D03</x:v>
      </x:c>
      <x:c r="N1" s="11" t="str">
        <x:v>정제량</x:v>
      </x:c>
      <x:c r="O1" s="11" t="str">
        <x:v>A 생산량</x:v>
      </x:c>
      <x:c r="P1" s="11" t="str">
        <x:v>B 생산량</x:v>
      </x:c>
      <x:c r="Q1" s="11" t="str">
        <x:v>C 생산량</x:v>
      </x:c>
      <x:c r="R1" s="11" t="str">
        <x:v>A 원단위</x:v>
      </x:c>
      <x:c r="S1" s="11" t="str">
        <x:v>B 원단위</x:v>
      </x:c>
      <x:c r="T1" s="11" t="str">
        <x:v>C 원단위</x:v>
      </x:c>
      <x:c r="U1" s="11" t="str">
        <x:v>약품 A 사용량</x:v>
      </x:c>
      <x:c r="V1" s="11" t="str">
        <x:v>약품 B 사용량</x:v>
      </x:c>
      <x:c r="W1" s="11" t="str">
        <x:v>약품 A 원단위</x:v>
      </x:c>
      <x:c r="X1" s="11" t="str">
        <x:v>약품 B 원단위</x:v>
      </x:c>
      <x:c r="Y1" s="11" t="str">
        <x:v>품질함량</x:v>
      </x:c>
    </x:row>
    <x:row r="2">
      <x:c r="A2" s="11" t="str">
        <x:v>내부 ID</x:v>
      </x:c>
      <x:c r="B2" s="11" t="str">
        <x:v>VAR_U04_UTIL_U01</x:v>
      </x:c>
      <x:c r="C2" s="11" t="str">
        <x:v>VAR_U04_FEED_U02</x:v>
      </x:c>
      <x:c r="D2" s="11" t="str">
        <x:v>VAR_U04_VM_U03</x:v>
      </x:c>
      <x:c r="E2" s="11" t="str">
        <x:v>VAR_U04_CONC_H01</x:v>
      </x:c>
      <x:c r="F2" s="11" t="str">
        <x:v>VAR_U04_FLOW_H02</x:v>
      </x:c>
      <x:c r="G2" s="11" t="str">
        <x:v>VAR_U04_RATIO_H03</x:v>
      </x:c>
      <x:c r="H2" s="11" t="str">
        <x:v>VAR_U04_TEMP_P02</x:v>
      </x:c>
      <x:c r="I2" s="11" t="str">
        <x:v>VAR_U04_TEMP_P03</x:v>
      </x:c>
      <x:c r="J2" s="11" t="str">
        <x:v>VAR_U04_DP_P04</x:v>
      </x:c>
      <x:c r="K2" s="11" t="str">
        <x:v>VAR_U04_TEMP_D01</x:v>
      </x:c>
      <x:c r="L2" s="11" t="str">
        <x:v>VAR_U04_FLOW_D02</x:v>
      </x:c>
      <x:c r="M2" s="11" t="str">
        <x:v>VAR_U04_U_D03</x:v>
      </x:c>
      <x:c r="N2" s="11" t="str">
        <x:v>KPI_U04_QTY_G01</x:v>
      </x:c>
      <x:c r="O2" s="11" t="str">
        <x:v>KPI_U04_OUT_P01</x:v>
      </x:c>
      <x:c r="P2" s="11" t="str">
        <x:v>KPI_U04_OUT_P02</x:v>
      </x:c>
      <x:c r="Q2" s="11" t="str">
        <x:v>KPI_U04_OUT_P03</x:v>
      </x:c>
      <x:c r="R2" s="11" t="str">
        <x:v>KPI_U04_UI_P01</x:v>
      </x:c>
      <x:c r="S2" s="11" t="str">
        <x:v>KPI_U04_UI_P02</x:v>
      </x:c>
      <x:c r="T2" s="11" t="str">
        <x:v>KPI_U04_UI_P03</x:v>
      </x:c>
      <x:c r="U2" s="11" t="str">
        <x:v>KPI_U04_CHEM_M01</x:v>
      </x:c>
      <x:c r="V2" s="11" t="str">
        <x:v>KPI_U04_CHEM_M02</x:v>
      </x:c>
      <x:c r="W2" s="11" t="str">
        <x:v>KPI_U04_CHEM_U01</x:v>
      </x:c>
      <x:c r="X2" s="11" t="str">
        <x:v>KPI_U04_CHEM_U02</x:v>
      </x:c>
      <x:c r="Y2" s="11" t="str">
        <x:v>KPI_U04_CONTAIN_S01</x:v>
      </x:c>
    </x:row>
    <x:row r="3">
      <x:c r="A3" s="11" t="str">
        <x:v>단위</x:v>
      </x:c>
      <x:c r="B3" s="11" t="str">
        <x:v>%</x:v>
      </x:c>
      <x:c r="C3" s="11" t="str">
        <x:v>t</x:v>
      </x:c>
      <x:c r="D3" s="11" t="str">
        <x:v>%</x:v>
      </x:c>
      <x:c r="E3" s="11" t="str">
        <x:v>%</x:v>
      </x:c>
      <x:c r="F3" s="11" t="str">
        <x:v>Nm³/h</x:v>
      </x:c>
      <x:c r="G3" s="11" t="str">
        <x:v>비율</x:v>
      </x:c>
      <x:c r="H3" s="11" t="str">
        <x:v>℃</x:v>
      </x:c>
      <x:c r="I3" s="11" t="str">
        <x:v>℃</x:v>
      </x:c>
      <x:c r="J3" s="11" t="str">
        <x:v>bar</x:v>
      </x:c>
      <x:c r="K3" s="11" t="str">
        <x:v>℃</x:v>
      </x:c>
      <x:c r="L3" s="11" t="str">
        <x:v>-</x:v>
      </x:c>
      <x:c r="M3" s="11" t="str">
        <x:v>-</x:v>
      </x:c>
      <x:c r="N3" s="11" t="str">
        <x:v>Nm³</x:v>
      </x:c>
      <x:c r="O3" s="11" t="str">
        <x:v>kg</x:v>
      </x:c>
      <x:c r="P3" s="11" t="str">
        <x:v>kg</x:v>
      </x:c>
      <x:c r="Q3" s="11" t="str">
        <x:v>kg</x:v>
      </x:c>
      <x:c r="R3" s="11" t="str">
        <x:v>kg/원료(t)</x:v>
      </x:c>
      <x:c r="S3" s="11" t="str">
        <x:v>kg/원료(t)</x:v>
      </x:c>
      <x:c r="T3" s="11" t="str">
        <x:v>kg/원료(t)</x:v>
      </x:c>
      <x:c r="U3" s="11" t="str">
        <x:v>kg</x:v>
      </x:c>
      <x:c r="V3" s="11" t="str">
        <x:v>kg</x:v>
      </x:c>
      <x:c r="W3" s="11" t="str">
        <x:v>kg/천Nm³</x:v>
      </x:c>
      <x:c r="X3" s="11" t="str">
        <x:v>kg/천Nm³</x:v>
      </x:c>
      <x:c r="Y3" s="11" t="str">
        <x:v>g/Nm³</x:v>
      </x:c>
    </x:row>
    <x:row r="4">
      <x:c r="A4" s="11" t="str">
        <x:v>집계 기준</x:v>
      </x:c>
      <x:c r="B4" s="11" t="str">
        <x:v>평균</x:v>
      </x:c>
      <x:c r="C4" s="11" t="str">
        <x:v>합계</x:v>
      </x:c>
      <x:c r="D4" s="11" t="str">
        <x:v>평균</x:v>
      </x:c>
      <x:c r="E4" s="11" t="str">
        <x:v>평균</x:v>
      </x:c>
      <x:c r="F4" s="11" t="str">
        <x:v>평균</x:v>
      </x:c>
      <x:c r="G4" s="11" t="str">
        <x:v>평균</x:v>
      </x:c>
      <x:c r="H4" s="11" t="str">
        <x:v>평균</x:v>
      </x:c>
      <x:c r="I4" s="11" t="str">
        <x:v>평균</x:v>
      </x:c>
      <x:c r="J4" s="11" t="str">
        <x:v>평균</x:v>
      </x:c>
      <x:c r="K4" s="11" t="str">
        <x:v>평균</x:v>
      </x:c>
      <x:c r="L4" s="11" t="str">
        <x:v>평균</x:v>
      </x:c>
      <x:c r="M4" s="11" t="str">
        <x:v>평균</x:v>
      </x:c>
      <x:c r="N4" s="11" t="str">
        <x:v>합계</x:v>
      </x:c>
      <x:c r="O4" s="11" t="str">
        <x:v>합계</x:v>
      </x:c>
      <x:c r="P4" s="11" t="str">
        <x:v>합계</x:v>
      </x:c>
      <x:c r="Q4" s="11" t="str">
        <x:v>합계</x:v>
      </x:c>
      <x:c r="R4" s="11" t="str">
        <x:v>평균</x:v>
      </x:c>
      <x:c r="S4" s="11" t="str">
        <x:v>평균</x:v>
      </x:c>
      <x:c r="T4" s="11" t="str">
        <x:v>평균</x:v>
      </x:c>
      <x:c r="U4" s="11" t="str">
        <x:v>합계</x:v>
      </x:c>
      <x:c r="V4" s="11" t="str">
        <x:v>합계</x:v>
      </x:c>
      <x:c r="W4" s="11" t="str">
        <x:v>평균</x:v>
      </x:c>
      <x:c r="X4" s="11" t="str">
        <x:v>평균</x:v>
      </x:c>
      <x:c r="Y4" s="11" t="str">
        <x:v>평균</x:v>
      </x:c>
    </x:row>
    <x:row r="5">
      <x:c r="A5" t="str">
        <x:v>2024년 2월 14일 ~ 2월 22일</x:v>
      </x:c>
      <x:c r="B5" t="n">
        <x:f>AVERAGEIF('일별 KPI·변수'!$A$2:$A$42,$A5,'일별 KPI·변수'!$C$2:$C$42)</x:f>
        <x:v>0.8935134233571121</x:v>
      </x:c>
      <x:c r="C5" t="n">
        <x:f>SUMIF('일별 KPI·변수'!$A$2:$A$42,$A5,'일별 KPI·변수'!$D$2:$D$42)</x:f>
        <x:v>9909.529435444681</x:v>
      </x:c>
      <x:c r="D5" t="n">
        <x:f>AVERAGEIF('일별 KPI·변수'!$A$2:$A$42,$A5,'일별 KPI·변수'!$E$2:$E$42)</x:f>
        <x:v>23.863875916295942</x:v>
      </x:c>
      <x:c r="E5" t="n">
        <x:f>AVERAGEIF('일별 KPI·변수'!$A$2:$A$42,$A5,'일별 KPI·변수'!$F$2:$F$42)</x:f>
        <x:v>55.35526080264306</x:v>
      </x:c>
      <x:c r="F5" t="n">
        <x:f>AVERAGEIF('일별 KPI·변수'!$A$2:$A$42,$A5,'일별 KPI·변수'!$G$2:$G$42)</x:f>
        <x:v>1584.7857955756422</x:v>
      </x:c>
      <x:c r="G5" t="n">
        <x:f>AVERAGEIF('일별 KPI·변수'!$A$2:$A$42,$A5,'일별 KPI·변수'!$H$2:$H$42)</x:f>
        <x:v>1.7327957491694823</x:v>
      </x:c>
      <x:c r="H5" t="n">
        <x:f>AVERAGEIF('일별 KPI·변수'!$A$2:$A$42,$A5,'일별 KPI·변수'!$I$2:$I$42)</x:f>
        <x:v>42.929224461516725</x:v>
      </x:c>
      <x:c r="I5" t="n">
        <x:f>AVERAGEIF('일별 KPI·변수'!$A$2:$A$42,$A5,'일별 KPI·변수'!$J$2:$J$42)</x:f>
        <x:v>60.86598611398166</x:v>
      </x:c>
      <x:c r="J5" t="n">
        <x:f>AVERAGEIF('일별 KPI·변수'!$A$2:$A$42,$A5,'일별 KPI·변수'!$K$2:$K$42)</x:f>
        <x:v>61.32680966068934</x:v>
      </x:c>
      <x:c r="K5" t="n">
        <x:f>AVERAGEIF('일별 KPI·변수'!$A$2:$A$42,$A5,'일별 KPI·변수'!$L$2:$L$42)</x:f>
        <x:v>60.98334315994303</x:v>
      </x:c>
      <x:c r="L5" t="n">
        <x:f>AVERAGEIF('일별 KPI·변수'!$A$2:$A$42,$A5,'일별 KPI·변수'!$M$2:$M$42)</x:f>
        <x:v>8.094085862753396</x:v>
      </x:c>
      <x:c r="M5" t="n">
        <x:f>AVERAGEIF('일별 KPI·변수'!$A$2:$A$42,$A5,'일별 KPI·변수'!$N$2:$N$42)</x:f>
        <x:v>0.9380380721992618</x:v>
      </x:c>
      <x:c r="N5" t="n">
        <x:f>SUMIF('일별 KPI·변수'!$A$2:$A$42,$A5,'일별 KPI·변수'!$O$2:$O$42)</x:f>
        <x:v>9469010.115258327</x:v>
      </x:c>
      <x:c r="O5" t="n">
        <x:f>SUMIF('일별 KPI·변수'!$A$2:$A$42,$A5,'일별 KPI·변수'!$P$2:$P$42)</x:f>
        <x:v>139374.3105613753</x:v>
      </x:c>
      <x:c r="P5" t="n">
        <x:f>SUMIF('일별 KPI·변수'!$A$2:$A$42,$A5,'일별 KPI·변수'!$Q$2:$Q$42)</x:f>
        <x:v>95491.31637102443</x:v>
      </x:c>
      <x:c r="Q5" t="n">
        <x:f>SUMIF('일별 KPI·변수'!$A$2:$A$42,$A5,'일별 KPI·변수'!$R$2:$R$42)</x:f>
        <x:v>24558.473681379604</x:v>
      </x:c>
      <x:c r="R5" t="n">
        <x:f>AVERAGEIF('일별 KPI·변수'!$A$2:$A$42,$A5,'일별 KPI·변수'!$S$2:$S$42)</x:f>
        <x:v>14063.328350833537</x:v>
      </x:c>
      <x:c r="S5" t="n">
        <x:f>AVERAGEIF('일별 KPI·변수'!$A$2:$A$42,$A5,'일별 KPI·변수'!$T$2:$T$42)</x:f>
        <x:v>9636.257414749783</x:v>
      </x:c>
      <x:c r="T5" t="n">
        <x:f>AVERAGEIF('일별 KPI·변수'!$A$2:$A$42,$A5,'일별 KPI·변수'!$U$2:$U$42)</x:f>
        <x:v>2478.2954025527556</x:v>
      </x:c>
      <x:c r="U5" t="n">
        <x:f>SUMIF('일별 KPI·변수'!$A$2:$A$42,$A5,'일별 KPI·변수'!$V$2:$V$42)</x:f>
        <x:v>4444.323348362055</x:v>
      </x:c>
      <x:c r="V5" t="n">
        <x:f>SUMIF('일별 KPI·변수'!$A$2:$A$42,$A5,'일별 KPI·변수'!$W$2:$W$42)</x:f>
        <x:v>8031.796233910696</x:v>
      </x:c>
      <x:c r="W5" t="n">
        <x:f>AVERAGEIF('일별 KPI·변수'!$A$2:$A$42,$A5,'일별 KPI·변수'!$X$2:$X$42)</x:f>
        <x:v>0.4693603924461018</x:v>
      </x:c>
      <x:c r="X5" t="n">
        <x:f>AVERAGEIF('일별 KPI·변수'!$A$2:$A$42,$A5,'일별 KPI·변수'!$Y$2:$Y$42)</x:f>
        <x:v>0.8482891548018575</x:v>
      </x:c>
      <x:c r="Y5" t="n">
        <x:f>AVERAGEIF('일별 KPI·변수'!$A$2:$A$42,$A5,'일별 KPI·변수'!$Z$2:$Z$42)</x:f>
        <x:v>0.70822083127508</x:v>
      </x:c>
    </x:row>
    <x:row r="6">
      <x:c r="A6" t="str">
        <x:v>2024년 07월 06일</x:v>
      </x:c>
      <x:c r="B6" t="n">
        <x:f>AVERAGEIF('일별 KPI·변수'!$A$2:$A$42,$A6,'일별 KPI·변수'!$C$2:$C$42)</x:f>
        <x:v>0.9141187176467834</x:v>
      </x:c>
      <x:c r="C6" t="n">
        <x:f>SUMIF('일별 KPI·변수'!$A$2:$A$42,$A6,'일별 KPI·변수'!$D$2:$D$42)</x:f>
        <x:v>1106.75987253641</x:v>
      </x:c>
      <x:c r="D6" t="n">
        <x:f>AVERAGEIF('일별 KPI·변수'!$A$2:$A$42,$A6,'일별 KPI·변수'!$E$2:$E$42)</x:f>
        <x:v>27.33927356419697</x:v>
      </x:c>
      <x:c r="E6" t="n">
        <x:f>AVERAGEIF('일별 KPI·변수'!$A$2:$A$42,$A6,'일별 KPI·변수'!$F$2:$F$42)</x:f>
        <x:v>55.56904236697048</x:v>
      </x:c>
      <x:c r="F6" t="n">
        <x:f>AVERAGEIF('일별 KPI·변수'!$A$2:$A$42,$A6,'일별 KPI·변수'!$G$2:$G$42)</x:f>
        <x:v>1604.723375646156</x:v>
      </x:c>
      <x:c r="G6" t="n">
        <x:f>AVERAGEIF('일별 KPI·변수'!$A$2:$A$42,$A6,'일별 KPI·변수'!$H$2:$H$42)</x:f>
        <x:v>1.727420314212052</x:v>
      </x:c>
      <x:c r="H6" t="n">
        <x:f>AVERAGEIF('일별 KPI·변수'!$A$2:$A$42,$A6,'일별 KPI·변수'!$I$2:$I$42)</x:f>
        <x:v>43.05554949942433</x:v>
      </x:c>
      <x:c r="I6" t="n">
        <x:f>AVERAGEIF('일별 KPI·변수'!$A$2:$A$42,$A6,'일별 KPI·변수'!$J$2:$J$42)</x:f>
        <x:v>61.05942151378602</x:v>
      </x:c>
      <x:c r="J6" t="n">
        <x:f>AVERAGEIF('일별 KPI·변수'!$A$2:$A$42,$A6,'일별 KPI·변수'!$K$2:$K$42)</x:f>
        <x:v>62.05245049491543</x:v>
      </x:c>
      <x:c r="K6" t="n">
        <x:f>AVERAGEIF('일별 KPI·변수'!$A$2:$A$42,$A6,'일별 KPI·변수'!$L$2:$L$42)</x:f>
        <x:v>61.23854484684927</x:v>
      </x:c>
      <x:c r="L6" t="n">
        <x:f>AVERAGEIF('일별 KPI·변수'!$A$2:$A$42,$A6,'일별 KPI·변수'!$M$2:$M$42)</x:f>
        <x:v>8.210041536892973</x:v>
      </x:c>
      <x:c r="M6" t="n">
        <x:f>AVERAGEIF('일별 KPI·변수'!$A$2:$A$42,$A6,'일별 KPI·변수'!$N$2:$N$42)</x:f>
        <x:v>0.9382153397515985</x:v>
      </x:c>
      <x:c r="N6" t="n">
        <x:f>SUMIF('일별 KPI·변수'!$A$2:$A$42,$A6,'일별 KPI·변수'!$O$2:$O$42)</x:f>
        <x:v>1072479.172219319</x:v>
      </x:c>
      <x:c r="O6" t="n">
        <x:f>SUMIF('일별 KPI·변수'!$A$2:$A$42,$A6,'일별 KPI·변수'!$P$2:$P$42)</x:f>
        <x:v>18117.13769269647</x:v>
      </x:c>
      <x:c r="P6" t="n">
        <x:f>SUMIF('일별 KPI·변수'!$A$2:$A$42,$A6,'일별 KPI·변수'!$Q$2:$Q$42)</x:f>
        <x:v>12249.80400125661</x:v>
      </x:c>
      <x:c r="Q6" t="n">
        <x:f>SUMIF('일별 KPI·변수'!$A$2:$A$42,$A6,'일별 KPI·변수'!$R$2:$R$42)</x:f>
        <x:v>2903.882973212682</x:v>
      </x:c>
      <x:c r="R6" t="n">
        <x:f>AVERAGEIF('일별 KPI·변수'!$A$2:$A$42,$A6,'일별 KPI·변수'!$S$2:$S$42)</x:f>
        <x:v>16369.52887637373</x:v>
      </x:c>
      <x:c r="S6" t="n">
        <x:f>AVERAGEIF('일별 KPI·변수'!$A$2:$A$42,$A6,'일별 KPI·변수'!$T$2:$T$42)</x:f>
        <x:v>11068.167816008</x:v>
      </x:c>
      <x:c r="T6" t="n">
        <x:f>AVERAGEIF('일별 KPI·변수'!$A$2:$A$42,$A6,'일별 KPI·변수'!$U$2:$U$42)</x:f>
        <x:v>2623.769658867128</x:v>
      </x:c>
      <x:c r="U6" t="n">
        <x:f>SUMIF('일별 KPI·변수'!$A$2:$A$42,$A6,'일별 KPI·변수'!$V$2:$V$42)</x:f>
        <x:v>495.8000539230118</x:v>
      </x:c>
      <x:c r="V6" t="n">
        <x:f>SUMIF('일별 KPI·변수'!$A$2:$A$42,$A6,'일별 KPI·변수'!$W$2:$W$42)</x:f>
        <x:v>899.1437657998752</x:v>
      </x:c>
      <x:c r="W6" t="n">
        <x:f>AVERAGEIF('일별 KPI·변수'!$A$2:$A$42,$A6,'일별 KPI·변수'!$X$2:$X$42)</x:f>
        <x:v>0.4622934102272917</x:v>
      </x:c>
      <x:c r="X6" t="n">
        <x:f>AVERAGEIF('일별 KPI·변수'!$A$2:$A$42,$A6,'일별 KPI·변수'!$Y$2:$Y$42)</x:f>
        <x:v>0.8383787667775826</x:v>
      </x:c>
      <x:c r="Y6" t="n">
        <x:f>AVERAGEIF('일별 KPI·변수'!$A$2:$A$42,$A6,'일별 KPI·변수'!$Z$2:$Z$42)</x:f>
        <x:v>0.693991809021748</x:v>
      </x:c>
    </x:row>
    <x:row r="7">
      <x:c r="A7" t="str">
        <x:v>2024년 11월 18일 ~ 11월 27일</x:v>
      </x:c>
      <x:c r="B7" t="n">
        <x:f>AVERAGEIF('일별 KPI·변수'!$A$2:$A$42,$A7,'일별 KPI·변수'!$C$2:$C$42)</x:f>
        <x:v>0.8927550725224354</x:v>
      </x:c>
      <x:c r="C7" t="n">
        <x:f>SUMIF('일별 KPI·변수'!$A$2:$A$42,$A7,'일별 KPI·변수'!$D$2:$D$42)</x:f>
        <x:v>11164.878344063745</x:v>
      </x:c>
      <x:c r="D7" t="n">
        <x:f>AVERAGEIF('일별 KPI·변수'!$A$2:$A$42,$A7,'일별 KPI·변수'!$E$2:$E$42)</x:f>
        <x:v>27.474208568217307</x:v>
      </x:c>
      <x:c r="E7" t="n">
        <x:f>AVERAGEIF('일별 KPI·변수'!$A$2:$A$42,$A7,'일별 KPI·변수'!$F$2:$F$42)</x:f>
        <x:v>55.254732579791536</x:v>
      </x:c>
      <x:c r="F7" t="n">
        <x:f>AVERAGEIF('일별 KPI·변수'!$A$2:$A$42,$A7,'일별 KPI·변수'!$G$2:$G$42)</x:f>
        <x:v>1585.333102935433</x:v>
      </x:c>
      <x:c r="G7" t="n">
        <x:f>AVERAGEIF('일별 KPI·변수'!$A$2:$A$42,$A7,'일별 KPI·변수'!$H$2:$H$42)</x:f>
        <x:v>1.7290318649513772</x:v>
      </x:c>
      <x:c r="H7" t="n">
        <x:f>AVERAGEIF('일별 KPI·변수'!$A$2:$A$42,$A7,'일별 KPI·변수'!$I$2:$I$42)</x:f>
        <x:v>42.87858400099081</x:v>
      </x:c>
      <x:c r="I7" t="n">
        <x:f>AVERAGEIF('일별 KPI·변수'!$A$2:$A$42,$A7,'일별 KPI·변수'!$J$2:$J$42)</x:f>
        <x:v>60.88168414251404</x:v>
      </x:c>
      <x:c r="J7" t="n">
        <x:f>AVERAGEIF('일별 KPI·변수'!$A$2:$A$42,$A7,'일별 KPI·변수'!$K$2:$K$42)</x:f>
        <x:v>61.225786668081</x:v>
      </x:c>
      <x:c r="K7" t="n">
        <x:f>AVERAGEIF('일별 KPI·변수'!$A$2:$A$42,$A7,'일별 KPI·변수'!$L$2:$L$42)</x:f>
        <x:v>60.75454938018164</x:v>
      </x:c>
      <x:c r="L7" t="n">
        <x:f>AVERAGEIF('일별 KPI·변수'!$A$2:$A$42,$A7,'일별 KPI·변수'!$M$2:$M$42)</x:f>
        <x:v>8.071307636846523</x:v>
      </x:c>
      <x:c r="M7" t="n">
        <x:f>AVERAGEIF('일별 KPI·변수'!$A$2:$A$42,$A7,'일별 KPI·변수'!$N$2:$N$42)</x:f>
        <x:v>0.9425379894941731</x:v>
      </x:c>
      <x:c r="N7" t="n">
        <x:f>SUMIF('일별 KPI·변수'!$A$2:$A$42,$A7,'일별 KPI·변수'!$O$2:$O$42)</x:f>
        <x:v>10503918.112831715</x:v>
      </x:c>
      <x:c r="O7" t="n">
        <x:f>SUMIF('일별 KPI·변수'!$A$2:$A$42,$A7,'일별 KPI·변수'!$P$2:$P$42)</x:f>
        <x:v>176201.86064032576</x:v>
      </x:c>
      <x:c r="P7" t="n">
        <x:f>SUMIF('일별 KPI·변수'!$A$2:$A$42,$A7,'일별 KPI·변수'!$Q$2:$Q$42)</x:f>
        <x:v>121877.55080791905</x:v>
      </x:c>
      <x:c r="Q7" t="n">
        <x:f>SUMIF('일별 KPI·변수'!$A$2:$A$42,$A7,'일별 KPI·변수'!$R$2:$R$42)</x:f>
        <x:v>28771.894362198072</x:v>
      </x:c>
      <x:c r="R7" t="n">
        <x:f>AVERAGEIF('일별 KPI·변수'!$A$2:$A$42,$A7,'일별 KPI·변수'!$S$2:$S$42)</x:f>
        <x:v>15783.539938171554</x:v>
      </x:c>
      <x:c r="S7" t="n">
        <x:f>AVERAGEIF('일별 KPI·변수'!$A$2:$A$42,$A7,'일별 KPI·변수'!$T$2:$T$42)</x:f>
        <x:v>10917.109589337444</x:v>
      </x:c>
      <x:c r="T7" t="n">
        <x:f>AVERAGEIF('일별 KPI·변수'!$A$2:$A$42,$A7,'일별 KPI·변수'!$U$2:$U$42)</x:f>
        <x:v>2576.850578658104</x:v>
      </x:c>
      <x:c r="U7" t="n">
        <x:f>SUMIF('일별 KPI·변수'!$A$2:$A$42,$A7,'일별 KPI·변수'!$V$2:$V$42)</x:f>
        <x:v>4931.692782564294</x:v>
      </x:c>
      <x:c r="V7" t="n">
        <x:f>SUMIF('일별 KPI·변수'!$A$2:$A$42,$A7,'일별 KPI·변수'!$W$2:$W$42)</x:f>
        <x:v>8869.521056355174</x:v>
      </x:c>
      <x:c r="W7" t="n">
        <x:f>AVERAGEIF('일별 KPI·변수'!$A$2:$A$42,$A7,'일별 KPI·변수'!$X$2:$X$42)</x:f>
        <x:v>0.46951907313552504</x:v>
      </x:c>
      <x:c r="X7" t="n">
        <x:f>AVERAGEIF('일별 KPI·변수'!$A$2:$A$42,$A7,'일별 KPI·변수'!$Y$2:$Y$42)</x:f>
        <x:v>0.8444473530626334</x:v>
      </x:c>
      <x:c r="Y7" t="n">
        <x:f>AVERAGEIF('일별 KPI·변수'!$A$2:$A$42,$A7,'일별 KPI·변수'!$Z$2:$Z$42)</x:f>
        <x:v>0.7163614744384297</x:v>
      </x:c>
    </x:row>
    <x:row r="8">
      <x:c r="A8" t="str">
        <x:v>2025년 4월 3일 ~ 4월 9일</x:v>
      </x:c>
      <x:c r="B8" t="n">
        <x:f>AVERAGEIF('일별 KPI·변수'!$A$2:$A$42,$A8,'일별 KPI·변수'!$C$2:$C$42)</x:f>
        <x:v>0.8903018264856802</x:v>
      </x:c>
      <x:c r="C8" t="n">
        <x:f>SUMIF('일별 KPI·변수'!$A$2:$A$42,$A8,'일별 KPI·변수'!$D$2:$D$42)</x:f>
        <x:v>7750.252970998098</x:v>
      </x:c>
      <x:c r="D8" t="n">
        <x:f>AVERAGEIF('일별 KPI·변수'!$A$2:$A$42,$A8,'일별 KPI·변수'!$E$2:$E$42)</x:f>
        <x:v>26.963012728359324</x:v>
      </x:c>
      <x:c r="E8" t="n">
        <x:f>AVERAGEIF('일별 KPI·변수'!$A$2:$A$42,$A8,'일별 KPI·변수'!$F$2:$F$42)</x:f>
        <x:v>55.364259842355</x:v>
      </x:c>
      <x:c r="F8" t="n">
        <x:f>AVERAGEIF('일별 KPI·변수'!$A$2:$A$42,$A8,'일별 KPI·변수'!$G$2:$G$42)</x:f>
        <x:v>1572.3926530183342</x:v>
      </x:c>
      <x:c r="G8" t="n">
        <x:f>AVERAGEIF('일별 KPI·변수'!$A$2:$A$42,$A8,'일별 KPI·변수'!$H$2:$H$42)</x:f>
        <x:v>1.7341621802105718</x:v>
      </x:c>
      <x:c r="H8" t="n">
        <x:f>AVERAGEIF('일별 KPI·변수'!$A$2:$A$42,$A8,'일별 KPI·변수'!$I$2:$I$42)</x:f>
        <x:v>42.96311787371223</x:v>
      </x:c>
      <x:c r="I8" t="n">
        <x:f>AVERAGEIF('일별 KPI·변수'!$A$2:$A$42,$A8,'일별 KPI·변수'!$J$2:$J$42)</x:f>
        <x:v>60.97525288318026</x:v>
      </x:c>
      <x:c r="J8" t="n">
        <x:f>AVERAGEIF('일별 KPI·변수'!$A$2:$A$42,$A8,'일별 KPI·변수'!$K$2:$K$42)</x:f>
        <x:v>60.74669572297711</x:v>
      </x:c>
      <x:c r="K8" t="n">
        <x:f>AVERAGEIF('일별 KPI·변수'!$A$2:$A$42,$A8,'일별 KPI·변수'!$L$2:$L$42)</x:f>
        <x:v>61.20817404975991</x:v>
      </x:c>
      <x:c r="L8" t="n">
        <x:f>AVERAGEIF('일별 KPI·변수'!$A$2:$A$42,$A8,'일별 KPI·변수'!$M$2:$M$42)</x:f>
        <x:v>8.095021177401993</x:v>
      </x:c>
      <x:c r="M8" t="n">
        <x:f>AVERAGEIF('일별 KPI·변수'!$A$2:$A$42,$A8,'일별 KPI·변수'!$N$2:$N$42)</x:f>
        <x:v>0.9457454605462371</x:v>
      </x:c>
      <x:c r="N8" t="n">
        <x:f>SUMIF('일별 KPI·변수'!$A$2:$A$42,$A8,'일별 KPI·변수'!$O$2:$O$42)</x:f>
        <x:v>7221185.21245608</x:v>
      </x:c>
      <x:c r="O8" t="n">
        <x:f>SUMIF('일별 KPI·변수'!$A$2:$A$42,$A8,'일별 KPI·변수'!$P$2:$P$42)</x:f>
        <x:v>122210.54771312536</x:v>
      </x:c>
      <x:c r="P8" t="n">
        <x:f>SUMIF('일별 KPI·변수'!$A$2:$A$42,$A8,'일별 KPI·변수'!$Q$2:$Q$42)</x:f>
        <x:v>83974.01219951498</x:v>
      </x:c>
      <x:c r="Q8" t="n">
        <x:f>SUMIF('일별 KPI·변수'!$A$2:$A$42,$A8,'일별 KPI·변수'!$R$2:$R$42)</x:f>
        <x:v>19423.5456281067</x:v>
      </x:c>
      <x:c r="R8" t="n">
        <x:f>AVERAGEIF('일별 KPI·변수'!$A$2:$A$42,$A8,'일별 KPI·변수'!$S$2:$S$42)</x:f>
        <x:v>15767.799231516823</x:v>
      </x:c>
      <x:c r="S8" t="n">
        <x:f>AVERAGEIF('일별 KPI·변수'!$A$2:$A$42,$A8,'일별 KPI·변수'!$T$2:$T$42)</x:f>
        <x:v>10835.611516379608</x:v>
      </x:c>
      <x:c r="T8" t="n">
        <x:f>AVERAGEIF('일별 KPI·변수'!$A$2:$A$42,$A8,'일별 KPI·변수'!$U$2:$U$42)</x:f>
        <x:v>2506.205035825154</x:v>
      </x:c>
      <x:c r="U8" t="n">
        <x:f>SUMIF('일별 KPI·변수'!$A$2:$A$42,$A8,'일별 KPI·변수'!$V$2:$V$42)</x:f>
        <x:v>3360.2734843515955</x:v>
      </x:c>
      <x:c r="V8" t="n">
        <x:f>SUMIF('일별 KPI·변수'!$A$2:$A$42,$A8,'일별 KPI·변수'!$W$2:$W$42)</x:f>
        <x:v>6214.171243043026</x:v>
      </x:c>
      <x:c r="W8" t="n">
        <x:f>AVERAGEIF('일별 KPI·변수'!$A$2:$A$42,$A8,'일별 KPI·변수'!$X$2:$X$42)</x:f>
        <x:v>0.4653335135448716</x:v>
      </x:c>
      <x:c r="X8" t="n">
        <x:f>AVERAGEIF('일별 KPI·변수'!$A$2:$A$42,$A8,'일별 KPI·변수'!$Y$2:$Y$42)</x:f>
        <x:v>0.860635820838643</x:v>
      </x:c>
      <x:c r="Y8" t="n">
        <x:f>AVERAGEIF('일별 KPI·변수'!$A$2:$A$42,$A8,'일별 KPI·변수'!$Z$2:$Z$42)</x:f>
        <x:v>0.7093964757032448</x:v>
      </x:c>
    </x:row>
    <x:row r="9">
      <x:c r="A9" t="str">
        <x:v>2025년 09월 21일</x:v>
      </x:c>
      <x:c r="B9" t="n">
        <x:f>AVERAGEIF('일별 KPI·변수'!$A$2:$A$42,$A9,'일별 KPI·변수'!$C$2:$C$42)</x:f>
        <x:v>0.9081358009633412</x:v>
      </x:c>
      <x:c r="C9" t="n">
        <x:f>SUMIF('일별 KPI·변수'!$A$2:$A$42,$A9,'일별 KPI·변수'!$D$2:$D$42)</x:f>
        <x:v>1116.26509060544</x:v>
      </x:c>
      <x:c r="D9" t="n">
        <x:f>AVERAGEIF('일별 KPI·변수'!$A$2:$A$42,$A9,'일별 KPI·변수'!$E$2:$E$42)</x:f>
        <x:v>26.81246946327368</x:v>
      </x:c>
      <x:c r="E9" t="n">
        <x:f>AVERAGEIF('일별 KPI·변수'!$A$2:$A$42,$A9,'일별 KPI·변수'!$F$2:$F$42)</x:f>
        <x:v>55.98195793304887</x:v>
      </x:c>
      <x:c r="F9" t="n">
        <x:f>AVERAGEIF('일별 KPI·변수'!$A$2:$A$42,$A9,'일별 KPI·변수'!$G$2:$G$42)</x:f>
        <x:v>1590.115032475073</x:v>
      </x:c>
      <x:c r="G9" t="n">
        <x:f>AVERAGEIF('일별 KPI·변수'!$A$2:$A$42,$A9,'일별 KPI·변수'!$H$2:$H$42)</x:f>
        <x:v>1.724682463401797</x:v>
      </x:c>
      <x:c r="H9" t="n">
        <x:f>AVERAGEIF('일별 KPI·변수'!$A$2:$A$42,$A9,'일별 KPI·변수'!$I$2:$I$42)</x:f>
        <x:v>43.12027330260187</x:v>
      </x:c>
      <x:c r="I9" t="n">
        <x:f>AVERAGEIF('일별 KPI·변수'!$A$2:$A$42,$A9,'일별 KPI·변수'!$J$2:$J$42)</x:f>
        <x:v>61.12307292580252</x:v>
      </x:c>
      <x:c r="J9" t="n">
        <x:f>AVERAGEIF('일별 KPI·변수'!$A$2:$A$42,$A9,'일별 KPI·변수'!$K$2:$K$42)</x:f>
        <x:v>61.97593803812082</x:v>
      </x:c>
      <x:c r="K9" t="n">
        <x:f>AVERAGEIF('일별 KPI·변수'!$A$2:$A$42,$A9,'일별 KPI·변수'!$L$2:$L$42)</x:f>
        <x:v>60.9430290472522</x:v>
      </x:c>
      <x:c r="L9" t="n">
        <x:f>AVERAGEIF('일별 KPI·변수'!$A$2:$A$42,$A9,'일별 KPI·변수'!$M$2:$M$42)</x:f>
        <x:v>8.09901894180809</x:v>
      </x:c>
      <x:c r="M9" t="n">
        <x:f>AVERAGEIF('일별 KPI·변수'!$A$2:$A$42,$A9,'일별 KPI·변수'!$N$2:$N$42)</x:f>
        <x:v>0.9518018757152066</x:v>
      </x:c>
      <x:c r="N9" t="n">
        <x:f>SUMIF('일별 KPI·변수'!$A$2:$A$42,$A9,'일별 KPI·변수'!$O$2:$O$42)</x:f>
        <x:v>1063514.977588905</x:v>
      </x:c>
      <x:c r="O9" t="n">
        <x:f>SUMIF('일별 KPI·변수'!$A$2:$A$42,$A9,'일별 KPI·변수'!$P$2:$P$42)</x:f>
        <x:v>17660.2959031314</x:v>
      </x:c>
      <x:c r="P9" t="n">
        <x:f>SUMIF('일별 KPI·변수'!$A$2:$A$42,$A9,'일별 KPI·변수'!$Q$2:$Q$42)</x:f>
        <x:v>11806.06696754293</x:v>
      </x:c>
      <x:c r="Q9" t="n">
        <x:f>SUMIF('일별 KPI·변수'!$A$2:$A$42,$A9,'일별 KPI·변수'!$R$2:$R$42)</x:f>
        <x:v>2693.23220539673</x:v>
      </x:c>
      <x:c r="R9" t="n">
        <x:f>AVERAGEIF('일별 KPI·변수'!$A$2:$A$42,$A9,'일별 KPI·변수'!$S$2:$S$42)</x:f>
        <x:v>15820.87987142267</x:v>
      </x:c>
      <x:c r="S9" t="n">
        <x:f>AVERAGEIF('일별 KPI·변수'!$A$2:$A$42,$A9,'일별 KPI·변수'!$T$2:$T$42)</x:f>
        <x:v>10576.40077334995</x:v>
      </x:c>
      <x:c r="T9" t="n">
        <x:f>AVERAGEIF('일별 KPI·변수'!$A$2:$A$42,$A9,'일별 KPI·변수'!$U$2:$U$42)</x:f>
        <x:v>2412.717398459514</x:v>
      </x:c>
      <x:c r="U9" t="n">
        <x:f>SUMIF('일별 KPI·변수'!$A$2:$A$42,$A9,'일별 KPI·변수'!$V$2:$V$42)</x:f>
        <x:v>495.3332499016522</x:v>
      </x:c>
      <x:c r="V9" t="n">
        <x:f>SUMIF('일별 KPI·변수'!$A$2:$A$42,$A9,'일별 KPI·변수'!$W$2:$W$42)</x:f>
        <x:v>899.8813490695666</x:v>
      </x:c>
      <x:c r="W9" t="n">
        <x:f>AVERAGEIF('일별 KPI·변수'!$A$2:$A$42,$A9,'일별 KPI·변수'!$X$2:$X$42)</x:f>
        <x:v>0.4657510804639746</x:v>
      </x:c>
      <x:c r="X9" t="n">
        <x:f>AVERAGEIF('일별 KPI·변수'!$A$2:$A$42,$A9,'일별 KPI·변수'!$Y$2:$Y$42)</x:f>
        <x:v>0.8461388584387293</x:v>
      </x:c>
      <x:c r="Y9" t="n">
        <x:f>AVERAGEIF('일별 KPI·변수'!$A$2:$A$42,$A9,'일별 KPI·변수'!$Z$2:$Z$42)</x:f>
        <x:v>0.76115327971408</x:v>
      </x:c>
    </x:row>
    <x:row r="10">
      <x:c r="A10" t="str">
        <x:v>2025.06.15</x:v>
      </x:c>
      <x:c r="B10" t="n">
        <x:f>AVERAGEIF('일별 KPI·변수'!$A$2:$A$42,$A10,'일별 KPI·변수'!$C$2:$C$42)</x:f>
        <x:v>0.887056759572385</x:v>
      </x:c>
      <x:c r="C10" t="n">
        <x:f>SUMIF('일별 KPI·변수'!$A$2:$A$42,$A10,'일별 KPI·변수'!$D$2:$D$42)</x:f>
        <x:v>1109.364044101198</x:v>
      </x:c>
      <x:c r="D10" t="n">
        <x:f>AVERAGEIF('일별 KPI·변수'!$A$2:$A$42,$A10,'일별 KPI·변수'!$E$2:$E$42)</x:f>
        <x:v>27.44957397568753</x:v>
      </x:c>
      <x:c r="E10" t="n">
        <x:f>AVERAGEIF('일별 KPI·변수'!$A$2:$A$42,$A10,'일별 KPI·변수'!$F$2:$F$42)</x:f>
        <x:v>56.06435991958276</x:v>
      </x:c>
      <x:c r="F10" t="n">
        <x:f>AVERAGEIF('일별 KPI·변수'!$A$2:$A$42,$A10,'일별 KPI·변수'!$G$2:$G$42)</x:f>
        <x:v>1562.21088752628</x:v>
      </x:c>
      <x:c r="G10" t="n">
        <x:f>AVERAGEIF('일별 KPI·변수'!$A$2:$A$42,$A10,'일별 KPI·변수'!$H$2:$H$42)</x:f>
        <x:v>1.703088410305438</x:v>
      </x:c>
      <x:c r="H10" t="n">
        <x:f>AVERAGEIF('일별 KPI·변수'!$A$2:$A$42,$A10,'일별 KPI·변수'!$I$2:$I$42)</x:f>
        <x:v>43.1507276274863</x:v>
      </x:c>
      <x:c r="I10" t="n">
        <x:f>AVERAGEIF('일별 KPI·변수'!$A$2:$A$42,$A10,'일별 KPI·변수'!$J$2:$J$42)</x:f>
        <x:v>61.20558078439359</x:v>
      </x:c>
      <x:c r="J10" t="n">
        <x:f>AVERAGEIF('일별 KPI·변수'!$A$2:$A$42,$A10,'일별 KPI·변수'!$K$2:$K$42)</x:f>
        <x:v>60.96535101032516</x:v>
      </x:c>
      <x:c r="K10" t="n">
        <x:f>AVERAGEIF('일별 KPI·변수'!$A$2:$A$42,$A10,'일별 KPI·변수'!$L$2:$L$42)</x:f>
        <x:v>61.25438056865747</x:v>
      </x:c>
      <x:c r="L10" t="n">
        <x:f>AVERAGEIF('일별 KPI·변수'!$A$2:$A$42,$A10,'일별 KPI·변수'!$M$2:$M$42)</x:f>
        <x:v>8.020176143896487</x:v>
      </x:c>
      <x:c r="M10" t="n">
        <x:f>AVERAGEIF('일별 KPI·변수'!$A$2:$A$42,$A10,'일별 KPI·변수'!$N$2:$N$42)</x:f>
        <x:v>0.9413544534536379</x:v>
      </x:c>
      <x:c r="N10" t="n">
        <x:f>SUMIF('일별 KPI·변수'!$A$2:$A$42,$A10,'일별 KPI·변수'!$O$2:$O$42)</x:f>
        <x:v>1036761.533737434</x:v>
      </x:c>
      <x:c r="O10" t="n">
        <x:f>SUMIF('일별 KPI·변수'!$A$2:$A$42,$A10,'일별 KPI·변수'!$P$2:$P$42)</x:f>
        <x:v>17243.26144028521</x:v>
      </x:c>
      <x:c r="P10" t="n">
        <x:f>SUMIF('일별 KPI·변수'!$A$2:$A$42,$A10,'일별 KPI·변수'!$Q$2:$Q$42)</x:f>
        <x:v>12438.62528188875</x:v>
      </x:c>
      <x:c r="Q10" t="n">
        <x:f>SUMIF('일별 KPI·변수'!$A$2:$A$42,$A10,'일별 KPI·변수'!$R$2:$R$42)</x:f>
        <x:v>2790.864656176189</x:v>
      </x:c>
      <x:c r="R10" t="n">
        <x:f>AVERAGEIF('일별 KPI·변수'!$A$2:$A$42,$A10,'일별 KPI·변수'!$S$2:$S$42)</x:f>
        <x:v>15543.37508230279</x:v>
      </x:c>
      <x:c r="S10" t="n">
        <x:f>AVERAGEIF('일별 KPI·변수'!$A$2:$A$42,$A10,'일별 KPI·변수'!$T$2:$T$42)</x:f>
        <x:v>11212.39267490995</x:v>
      </x:c>
      <x:c r="T10" t="n">
        <x:f>AVERAGEIF('일별 KPI·변수'!$A$2:$A$42,$A10,'일별 KPI·변수'!$U$2:$U$42)</x:f>
        <x:v>2515.733830581589</x:v>
      </x:c>
      <x:c r="U10" t="n">
        <x:f>SUMIF('일별 KPI·변수'!$A$2:$A$42,$A10,'일별 KPI·변수'!$V$2:$V$42)</x:f>
        <x:v>496.8012175073888</x:v>
      </x:c>
      <x:c r="V10" t="n">
        <x:f>SUMIF('일별 KPI·변수'!$A$2:$A$42,$A10,'일별 KPI·변수'!$W$2:$W$42)</x:f>
        <x:v>897.0276865630493</x:v>
      </x:c>
      <x:c r="W10" t="n">
        <x:f>AVERAGEIF('일별 KPI·변수'!$A$2:$A$42,$A10,'일별 KPI·변수'!$X$2:$X$42)</x:f>
        <x:v>0.4791856192006507</x:v>
      </x:c>
      <x:c r="X10" t="n">
        <x:f>AVERAGEIF('일별 KPI·변수'!$A$2:$A$42,$A10,'일별 KPI·변수'!$Y$2:$Y$42)</x:f>
        <x:v>0.8652208414111808</x:v>
      </x:c>
      <x:c r="Y10" t="n">
        <x:f>AVERAGEIF('일별 KPI·변수'!$A$2:$A$42,$A10,'일별 KPI·변수'!$Z$2:$Z$42)</x:f>
        <x:v>0.7404069787570894</x:v>
      </x:c>
    </x:row>
    <x:row r="11">
      <x:c r="A11" t="str">
        <x:v>2025.02.11</x:v>
      </x:c>
      <x:c r="B11" t="n">
        <x:f>AVERAGEIF('일별 KPI·변수'!$A$2:$A$42,$A11,'일별 KPI·변수'!$C$2:$C$42)</x:f>
        <x:v>0.9272007774582952</x:v>
      </x:c>
      <x:c r="C11" t="n">
        <x:f>SUMIF('일별 KPI·변수'!$A$2:$A$42,$A11,'일별 KPI·변수'!$D$2:$D$42)</x:f>
        <x:v>1103.012647272732</x:v>
      </x:c>
      <x:c r="D11" t="n">
        <x:f>AVERAGEIF('일별 KPI·변수'!$A$2:$A$42,$A11,'일별 KPI·변수'!$E$2:$E$42)</x:f>
        <x:v>27.62896544552935</x:v>
      </x:c>
      <x:c r="E11" t="n">
        <x:f>AVERAGEIF('일별 KPI·변수'!$A$2:$A$42,$A11,'일별 KPI·변수'!$F$2:$F$42)</x:f>
        <x:v>55.1245218156858</x:v>
      </x:c>
      <x:c r="F11" t="n">
        <x:f>AVERAGEIF('일별 KPI·변수'!$A$2:$A$42,$A11,'일별 KPI·변수'!$G$2:$G$42)</x:f>
        <x:v>1556.39288366494</x:v>
      </x:c>
      <x:c r="G11" t="n">
        <x:f>AVERAGEIF('일별 KPI·변수'!$A$2:$A$42,$A11,'일별 KPI·변수'!$H$2:$H$42)</x:f>
        <x:v>1.744332262368654</x:v>
      </x:c>
      <x:c r="H11" t="n">
        <x:f>AVERAGEIF('일별 KPI·변수'!$A$2:$A$42,$A11,'일별 KPI·변수'!$I$2:$I$42)</x:f>
        <x:v>42.81873853248295</x:v>
      </x:c>
      <x:c r="I11" t="n">
        <x:f>AVERAGEIF('일별 KPI·변수'!$A$2:$A$42,$A11,'일별 KPI·변수'!$J$2:$J$42)</x:f>
        <x:v>60.81478477510134</x:v>
      </x:c>
      <x:c r="J11" t="n">
        <x:f>AVERAGEIF('일별 KPI·변수'!$A$2:$A$42,$A11,'일별 KPI·변수'!$K$2:$K$42)</x:f>
        <x:v>60.25096201981981</x:v>
      </x:c>
      <x:c r="K11" t="n">
        <x:f>AVERAGEIF('일별 KPI·변수'!$A$2:$A$42,$A11,'일별 KPI·변수'!$L$2:$L$42)</x:f>
        <x:v>60.64361836984235</x:v>
      </x:c>
      <x:c r="L11" t="n">
        <x:f>AVERAGEIF('일별 KPI·변수'!$A$2:$A$42,$A11,'일별 KPI·변수'!$M$2:$M$42)</x:f>
        <x:v>8.156411736177015</x:v>
      </x:c>
      <x:c r="M11" t="n">
        <x:f>AVERAGEIF('일별 KPI·변수'!$A$2:$A$42,$A11,'일별 KPI·변수'!$N$2:$N$42)</x:f>
        <x:v>0.933321803302234</x:v>
      </x:c>
      <x:c r="N11" t="n">
        <x:f>SUMIF('일별 KPI·변수'!$A$2:$A$42,$A11,'일별 KPI·변수'!$O$2:$O$42)</x:f>
        <x:v>1028965.497344934</x:v>
      </x:c>
      <x:c r="O11" t="n">
        <x:f>SUMIF('일별 KPI·변수'!$A$2:$A$42,$A11,'일별 KPI·변수'!$P$2:$P$42)</x:f>
        <x:v>18463.89905773315</x:v>
      </x:c>
      <x:c r="P11" t="n">
        <x:f>SUMIF('일별 KPI·변수'!$A$2:$A$42,$A11,'일별 KPI·변수'!$Q$2:$Q$42)</x:f>
        <x:v>12584.72129021882</x:v>
      </x:c>
      <x:c r="Q11" t="n">
        <x:f>SUMIF('일별 KPI·변수'!$A$2:$A$42,$A11,'일별 KPI·변수'!$R$2:$R$42)</x:f>
        <x:v>2986.908770455123</x:v>
      </x:c>
      <x:c r="R11" t="n">
        <x:f>AVERAGEIF('일별 KPI·변수'!$A$2:$A$42,$A11,'일별 KPI·변수'!$S$2:$S$42)</x:f>
        <x:v>16739.51708839088</x:v>
      </x:c>
      <x:c r="S11" t="n">
        <x:f>AVERAGEIF('일별 KPI·변수'!$A$2:$A$42,$A11,'일별 KPI·변수'!$T$2:$T$42)</x:f>
        <x:v>11409.40797128241</x:v>
      </x:c>
      <x:c r="T11" t="n">
        <x:f>AVERAGEIF('일별 KPI·변수'!$A$2:$A$42,$A11,'일별 KPI·변수'!$U$2:$U$42)</x:f>
        <x:v>2707.955142527552</x:v>
      </x:c>
      <x:c r="U11" t="n">
        <x:f>SUMIF('일별 KPI·변수'!$A$2:$A$42,$A11,'일별 KPI·변수'!$V$2:$V$42)</x:f>
        <x:v>491.0741452597044</x:v>
      </x:c>
      <x:c r="V11" t="n">
        <x:f>SUMIF('일별 KPI·변수'!$A$2:$A$42,$A11,'일별 KPI·변수'!$W$2:$W$42)</x:f>
        <x:v>877.9296965434368</x:v>
      </x:c>
      <x:c r="W11" t="n">
        <x:f>AVERAGEIF('일별 KPI·변수'!$A$2:$A$42,$A11,'일별 KPI·변수'!$X$2:$X$42)</x:f>
        <x:v>0.4772503514712939</x:v>
      </x:c>
      <x:c r="X11" t="n">
        <x:f>AVERAGEIF('일별 KPI·변수'!$A$2:$A$42,$A11,'일별 KPI·변수'!$Y$2:$Y$42)</x:f>
        <x:v>0.8532158743988805</x:v>
      </x:c>
      <x:c r="Y11" t="n">
        <x:f>AVERAGEIF('일별 KPI·변수'!$A$2:$A$42,$A11,'일별 KPI·변수'!$Z$2:$Z$42)</x:f>
        <x:v>0.6984803349245973</x:v>
      </x:c>
    </x:row>
    <x:row r="12">
      <x:c r="A12" t="str">
        <x:v>2024.10.11 ~ 10.15</x:v>
      </x:c>
      <x:c r="B12" t="n">
        <x:f>AVERAGEIF('일별 KPI·변수'!$A$2:$A$42,$A12,'일별 KPI·변수'!$C$2:$C$42)</x:f>
        <x:v>0.895353569138776</x:v>
      </x:c>
      <x:c r="C12" t="n">
        <x:f>SUMIF('일별 KPI·변수'!$A$2:$A$42,$A12,'일별 KPI·변수'!$D$2:$D$42)</x:f>
        <x:v>5545.301837124905</x:v>
      </x:c>
      <x:c r="D12" t="n">
        <x:f>AVERAGEIF('일별 KPI·변수'!$A$2:$A$42,$A12,'일별 KPI·변수'!$E$2:$E$42)</x:f>
        <x:v>26.90932699250045</x:v>
      </x:c>
      <x:c r="E12" t="n">
        <x:f>AVERAGEIF('일별 KPI·변수'!$A$2:$A$42,$A12,'일별 KPI·변수'!$F$2:$F$42)</x:f>
        <x:v>55.267221436671306</x:v>
      </x:c>
      <x:c r="F12" t="n">
        <x:f>AVERAGEIF('일별 KPI·변수'!$A$2:$A$42,$A12,'일별 KPI·변수'!$G$2:$G$42)</x:f>
        <x:v>1579.2393484217623</x:v>
      </x:c>
      <x:c r="G12" t="n">
        <x:f>AVERAGEIF('일별 KPI·변수'!$A$2:$A$42,$A12,'일별 KPI·변수'!$H$2:$H$42)</x:f>
        <x:v>1.739682404813324</x:v>
      </x:c>
      <x:c r="H12" t="n">
        <x:f>AVERAGEIF('일별 KPI·변수'!$A$2:$A$42,$A12,'일별 KPI·변수'!$I$2:$I$42)</x:f>
        <x:v>43.060207931174986</x:v>
      </x:c>
      <x:c r="I12" t="n">
        <x:f>AVERAGEIF('일별 KPI·변수'!$A$2:$A$42,$A12,'일별 KPI·변수'!$J$2:$J$42)</x:f>
        <x:v>69.50211537607743</x:v>
      </x:c>
      <x:c r="J12" t="n">
        <x:f>AVERAGEIF('일별 KPI·변수'!$A$2:$A$42,$A12,'일별 KPI·변수'!$K$2:$K$42)</x:f>
        <x:v>60.684504311901414</x:v>
      </x:c>
      <x:c r="K12" t="n">
        <x:f>AVERAGEIF('일별 KPI·변수'!$A$2:$A$42,$A12,'일별 KPI·변수'!$L$2:$L$42)</x:f>
        <x:v>60.588379655074576</x:v>
      </x:c>
      <x:c r="L12" t="n">
        <x:f>AVERAGEIF('일별 KPI·변수'!$A$2:$A$42,$A12,'일별 KPI·변수'!$M$2:$M$42)</x:f>
        <x:v>8.06099692183858</x:v>
      </x:c>
      <x:c r="M12" t="n">
        <x:f>AVERAGEIF('일별 KPI·변수'!$A$2:$A$42,$A12,'일별 KPI·변수'!$N$2:$N$42)</x:f>
        <x:v>0.9415040619699541</x:v>
      </x:c>
      <x:c r="N12" t="n">
        <x:f>SUMIF('일별 KPI·변수'!$A$2:$A$42,$A12,'일별 KPI·변수'!$O$2:$O$42)</x:f>
        <x:v>5257984.105167334</x:v>
      </x:c>
      <x:c r="O12" t="n">
        <x:f>SUMIF('일별 KPI·변수'!$A$2:$A$42,$A12,'일별 KPI·변수'!$P$2:$P$42)</x:f>
        <x:v>86153.66175430987</x:v>
      </x:c>
      <x:c r="P12" t="n">
        <x:f>SUMIF('일별 KPI·변수'!$A$2:$A$42,$A12,'일별 KPI·변수'!$Q$2:$Q$42)</x:f>
        <x:v>58555.69994112565</x:v>
      </x:c>
      <x:c r="Q12" t="n">
        <x:f>SUMIF('일별 KPI·변수'!$A$2:$A$42,$A12,'일별 KPI·변수'!$R$2:$R$42)</x:f>
        <x:v>13908.71147239045</x:v>
      </x:c>
      <x:c r="R12" t="n">
        <x:f>AVERAGEIF('일별 KPI·변수'!$A$2:$A$42,$A12,'일별 KPI·변수'!$S$2:$S$42)</x:f>
        <x:v>15530.382230016618</x:v>
      </x:c>
      <x:c r="S12" t="n">
        <x:f>AVERAGEIF('일별 KPI·변수'!$A$2:$A$42,$A12,'일별 KPI·변수'!$T$2:$T$42)</x:f>
        <x:v>10558.950047805698</x:v>
      </x:c>
      <x:c r="T12" t="n">
        <x:f>AVERAGEIF('일별 KPI·변수'!$A$2:$A$42,$A12,'일별 KPI·변수'!$U$2:$U$42)</x:f>
        <x:v>2507.6405769855546</x:v>
      </x:c>
      <x:c r="U12" t="n">
        <x:f>SUMIF('일별 KPI·변수'!$A$2:$A$42,$A12,'일별 KPI·변수'!$V$2:$V$42)</x:f>
        <x:v>2470.9908173037384</x:v>
      </x:c>
      <x:c r="V12" t="n">
        <x:f>SUMIF('일별 KPI·변수'!$A$2:$A$42,$A12,'일별 KPI·변수'!$W$2:$W$42)</x:f>
        <x:v>4444.679063403875</x:v>
      </x:c>
      <x:c r="W12" t="n">
        <x:f>AVERAGEIF('일별 KPI·변수'!$A$2:$A$42,$A12,'일별 KPI·변수'!$X$2:$X$42)</x:f>
        <x:v>0.4699531742275317</x:v>
      </x:c>
      <x:c r="X12" t="n">
        <x:f>AVERAGEIF('일별 KPI·변수'!$A$2:$A$42,$A12,'일별 KPI·변수'!$Y$2:$Y$42)</x:f>
        <x:v>0.845535067050218</x:v>
      </x:c>
      <x:c r="Y12" t="n">
        <x:f>AVERAGEIF('일별 KPI·변수'!$A$2:$A$42,$A12,'일별 KPI·변수'!$Z$2:$Z$42)</x:f>
        <x:v>0.7962302850430432</x:v>
      </x:c>
    </x:row>
    <x:row r="13">
      <x:c r="A13" t="str">
        <x:v>2025.09.11 ~ 09.16</x:v>
      </x:c>
      <x:c r="B13" t="n">
        <x:f>AVERAGEIF('일별 KPI·변수'!$A$2:$A$42,$A13,'일별 KPI·변수'!$C$2:$C$42)</x:f>
        <x:v>0.8976606549844126</x:v>
      </x:c>
      <x:c r="C13" t="n">
        <x:f>SUMIF('일별 KPI·변수'!$A$2:$A$42,$A13,'일별 KPI·변수'!$D$2:$D$42)</x:f>
        <x:v>6698.019654468164</x:v>
      </x:c>
      <x:c r="D13" t="n">
        <x:f>AVERAGEIF('일별 KPI·변수'!$A$2:$A$42,$A13,'일별 KPI·변수'!$E$2:$E$42)</x:f>
        <x:v>26.98697331416764</x:v>
      </x:c>
      <x:c r="E13" t="n">
        <x:f>AVERAGEIF('일별 KPI·변수'!$A$2:$A$42,$A13,'일별 KPI·변수'!$F$2:$F$42)</x:f>
        <x:v>55.48607030440987</x:v>
      </x:c>
      <x:c r="F13" t="n">
        <x:f>AVERAGEIF('일별 KPI·변수'!$A$2:$A$42,$A13,'일별 KPI·변수'!$G$2:$G$42)</x:f>
        <x:v>1580.7009215723604</x:v>
      </x:c>
      <x:c r="G13" t="n">
        <x:f>AVERAGEIF('일별 KPI·변수'!$A$2:$A$42,$A13,'일별 KPI·변수'!$H$2:$H$42)</x:f>
        <x:v>1.7230723168219886</x:v>
      </x:c>
      <x:c r="H13" t="n">
        <x:f>AVERAGEIF('일별 KPI·변수'!$A$2:$A$42,$A13,'일별 KPI·변수'!$I$2:$I$42)</x:f>
        <x:v>42.98484927038879</x:v>
      </x:c>
      <x:c r="I13" t="n">
        <x:f>AVERAGEIF('일별 KPI·변수'!$A$2:$A$42,$A13,'일별 KPI·변수'!$J$2:$J$42)</x:f>
        <x:v>60.76379008441169</x:v>
      </x:c>
      <x:c r="J13" t="n">
        <x:f>AVERAGEIF('일별 KPI·변수'!$A$2:$A$42,$A13,'일별 KPI·변수'!$K$2:$K$42)</x:f>
        <x:v>62.03291151737645</x:v>
      </x:c>
      <x:c r="K13" t="n">
        <x:f>AVERAGEIF('일별 KPI·변수'!$A$2:$A$42,$A13,'일별 KPI·변수'!$L$2:$L$42)</x:f>
        <x:v>60.982421864489275</x:v>
      </x:c>
      <x:c r="L13" t="n">
        <x:f>AVERAGEIF('일별 KPI·변수'!$A$2:$A$42,$A13,'일별 KPI·변수'!$M$2:$M$42)</x:f>
        <x:v>8.088470684955036</x:v>
      </x:c>
      <x:c r="M13" t="n">
        <x:f>AVERAGEIF('일별 KPI·변수'!$A$2:$A$42,$A13,'일별 KPI·변수'!$N$2:$N$42)</x:f>
        <x:v>0.9403601973359558</x:v>
      </x:c>
      <x:c r="N13" t="n">
        <x:f>SUMIF('일별 KPI·변수'!$A$2:$A$42,$A13,'일별 KPI·변수'!$O$2:$O$42)</x:f>
        <x:v>6280384.836729634</x:v>
      </x:c>
      <x:c r="O13" t="n">
        <x:f>SUMIF('일별 KPI·변수'!$A$2:$A$42,$A13,'일별 KPI·변수'!$P$2:$P$42)</x:f>
        <x:v>105329.76112852205</x:v>
      </x:c>
      <x:c r="P13" t="n">
        <x:f>SUMIF('일별 KPI·변수'!$A$2:$A$42,$A13,'일별 KPI·변수'!$Q$2:$Q$42)</x:f>
        <x:v>71661.81920404128</x:v>
      </x:c>
      <x:c r="Q13" t="n">
        <x:f>SUMIF('일별 KPI·변수'!$A$2:$A$42,$A13,'일별 KPI·변수'!$R$2:$R$42)</x:f>
        <x:v>17364.1993395683</x:v>
      </x:c>
      <x:c r="R13" t="n">
        <x:f>AVERAGEIF('일별 KPI·변수'!$A$2:$A$42,$A13,'일별 KPI·변수'!$S$2:$S$42)</x:f>
        <x:v>15725.781814717373</x:v>
      </x:c>
      <x:c r="S13" t="n">
        <x:f>AVERAGEIF('일별 KPI·변수'!$A$2:$A$42,$A13,'일별 KPI·변수'!$T$2:$T$42)</x:f>
        <x:v>10700.327795285544</x:v>
      </x:c>
      <x:c r="T13" t="n">
        <x:f>AVERAGEIF('일별 KPI·변수'!$A$2:$A$42,$A13,'일별 KPI·변수'!$U$2:$U$42)</x:f>
        <x:v>2592.320568716701</x:v>
      </x:c>
      <x:c r="U13" t="n">
        <x:f>SUMIF('일별 KPI·변수'!$A$2:$A$42,$A13,'일별 KPI·변수'!$V$2:$V$42)</x:f>
        <x:v>2950.041725405936</x:v>
      </x:c>
      <x:c r="V13" t="n">
        <x:f>SUMIF('일별 KPI·변수'!$A$2:$A$42,$A13,'일별 KPI·변수'!$W$2:$W$42)</x:f>
        <x:v>5326.5144477664635</x:v>
      </x:c>
      <x:c r="W13" t="n">
        <x:f>AVERAGEIF('일별 KPI·변수'!$A$2:$A$42,$A13,'일별 KPI·변수'!$X$2:$X$42)</x:f>
        <x:v>0.4697298885891199</x:v>
      </x:c>
      <x:c r="X13" t="n">
        <x:f>AVERAGEIF('일별 KPI·변수'!$A$2:$A$42,$A13,'일별 KPI·변수'!$Y$2:$Y$42)</x:f>
        <x:v>0.8481592438919145</x:v>
      </x:c>
      <x:c r="Y13" t="n">
        <x:f>AVERAGEIF('일별 KPI·변수'!$A$2:$A$42,$A13,'일별 KPI·변수'!$Z$2:$Z$42)</x:f>
        <x:v>0.8023619335627904</x:v>
      </x:c>
    </x:row>
    <x:row r="16">
      <x:c r="A16" s="11" t="str">
        <x:v>화면 표시명</x:v>
      </x:c>
      <x:c r="B16" s="11" t="str">
        <x:v>스팀 M01</x:v>
      </x:c>
      <x:c r="C16" s="11" t="str">
        <x:v>스팀 M02</x:v>
      </x:c>
      <x:c r="D16" s="11" t="str">
        <x:v>스팀 M03</x:v>
      </x:c>
      <x:c r="E16" s="11" t="str">
        <x:v>스팀 M04</x:v>
      </x:c>
      <x:c r="F16" s="11" t="str">
        <x:v>스팀 M05</x:v>
      </x:c>
      <x:c r="G16" s="11" t="str">
        <x:v>스팀 M06</x:v>
      </x:c>
    </x:row>
    <x:row r="17">
      <x:c r="A17" s="11" t="str">
        <x:v>내부 ID</x:v>
      </x:c>
      <x:c r="B17" s="11" t="str">
        <x:v>KPI_U04_STEAM_M01</x:v>
      </x:c>
      <x:c r="C17" s="11" t="str">
        <x:v>KPI_U04_STEAM_M02</x:v>
      </x:c>
      <x:c r="D17" s="11" t="str">
        <x:v>KPI_U04_STEAM_M03</x:v>
      </x:c>
      <x:c r="E17" s="11" t="str">
        <x:v>KPI_U04_STEAM_M04</x:v>
      </x:c>
      <x:c r="F17" s="11" t="str">
        <x:v>KPI_U04_STEAM_M05</x:v>
      </x:c>
      <x:c r="G17" s="11" t="str">
        <x:v>KPI_U04_STEAM_M06</x:v>
      </x:c>
    </x:row>
    <x:row r="18">
      <x:c r="A18" s="11" t="str">
        <x:v>단위</x:v>
      </x:c>
      <x:c r="B18" s="11" t="str">
        <x:v>t/h</x:v>
      </x:c>
      <x:c r="C18" s="11" t="str">
        <x:v>t/h</x:v>
      </x:c>
      <x:c r="D18" s="11" t="str">
        <x:v>t/h</x:v>
      </x:c>
      <x:c r="E18" s="11" t="str">
        <x:v>t/h</x:v>
      </x:c>
      <x:c r="F18" s="11" t="str">
        <x:v>t/h</x:v>
      </x:c>
      <x:c r="G18" s="11" t="str">
        <x:v>t/h</x:v>
      </x:c>
    </x:row>
    <x:row r="19">
      <x:c r="A19" s="11" t="str">
        <x:v>집계 기준</x:v>
      </x:c>
      <x:c r="B19" s="11" t="str">
        <x:v>평균</x:v>
      </x:c>
      <x:c r="C19" s="11" t="str">
        <x:v>평균</x:v>
      </x:c>
      <x:c r="D19" s="11" t="str">
        <x:v>평균</x:v>
      </x:c>
      <x:c r="E19" s="11" t="str">
        <x:v>평균</x:v>
      </x:c>
      <x:c r="F19" s="11" t="str">
        <x:v>평균</x:v>
      </x:c>
      <x:c r="G19" s="11" t="str">
        <x:v>평균</x:v>
      </x:c>
    </x:row>
    <x:row r="20">
      <x:c r="A20" t="str">
        <x:v>2024년 2월 14일 ~ 2월 22일</x:v>
      </x:c>
      <x:c r="B20" t="n">
        <x:f>AVERAGEIF('추가 변수'!$A$2:$A$42,$A20,'추가 변수'!$B$2:$B$42)*10</x:f>
        <x:v>2.5089622788980788</x:v>
      </x:c>
      <x:c r="C20" t="n">
        <x:f>AVERAGEIF('추가 변수'!$A$2:$A$42,$A20,'추가 변수'!$C$2:$C$42)*10</x:f>
        <x:v>2.5060726471941037</x:v>
      </x:c>
      <x:c r="D20" t="n">
        <x:f>AVERAGEIF('추가 변수'!$A$2:$A$42,$A20,'추가 변수'!$D$2:$D$42)*10</x:f>
        <x:v>2.498969285958257</x:v>
      </x:c>
      <x:c r="E20" t="n">
        <x:f>AVERAGEIF('추가 변수'!$A$2:$A$42,$A20,'추가 변수'!$E$2:$E$42)*10</x:f>
        <x:v>2.4939975987738596</x:v>
      </x:c>
      <x:c r="F20" t="n">
        <x:f>AVERAGEIF('추가 변수'!$A$2:$A$42,$A20,'추가 변수'!$F$2:$F$42)*10</x:f>
        <x:v>2.5059289816729393</x:v>
      </x:c>
      <x:c r="G20" t="n">
        <x:f>AVERAGEIF('추가 변수'!$A$2:$A$42,$A20,'추가 변수'!$G$2:$G$42)*10</x:f>
        <x:v>2.5435620285019382</x:v>
      </x:c>
    </x:row>
    <x:row r="21">
      <x:c r="A21" t="str">
        <x:v>2024년 07월 06일</x:v>
      </x:c>
      <x:c r="B21" t="n">
        <x:f>AVERAGEIF('추가 변수'!$A$2:$A$42,$A21,'추가 변수'!$B$2:$B$42)*10</x:f>
        <x:v>2.558733711128447</x:v>
      </x:c>
      <x:c r="C21" t="n">
        <x:f>AVERAGEIF('추가 변수'!$A$2:$A$42,$A21,'추가 변수'!$C$2:$C$42)*10</x:f>
        <x:v>2.568845917509029</x:v>
      </x:c>
      <x:c r="D21" t="n">
        <x:f>AVERAGEIF('추가 변수'!$A$2:$A$42,$A21,'추가 변수'!$D$2:$D$42)*10</x:f>
        <x:v>2.518648433035585</x:v>
      </x:c>
      <x:c r="E21" t="n">
        <x:f>AVERAGEIF('추가 변수'!$A$2:$A$42,$A21,'추가 변수'!$E$2:$E$42)*10</x:f>
        <x:v>2.5400386161305937</x:v>
      </x:c>
      <x:c r="F21" t="n">
        <x:f>AVERAGEIF('추가 변수'!$A$2:$A$42,$A21,'추가 변수'!$F$2:$F$42)*10</x:f>
        <x:v>2.4571771309955768</x:v>
      </x:c>
      <x:c r="G21" t="n">
        <x:f>AVERAGEIF('추가 변수'!$A$2:$A$42,$A21,'추가 변수'!$G$2:$G$42)*10</x:f>
        <x:v>2.463016076704756</x:v>
      </x:c>
    </x:row>
    <x:row r="22">
      <x:c r="A22" t="str">
        <x:v>2024년 11월 18일 ~ 11월 27일</x:v>
      </x:c>
      <x:c r="B22" t="n">
        <x:f>AVERAGEIF('추가 변수'!$A$2:$A$42,$A22,'추가 변수'!$B$2:$B$42)*10</x:f>
        <x:v>2.50392749478015</x:v>
      </x:c>
      <x:c r="C22" t="n">
        <x:f>AVERAGEIF('추가 변수'!$A$2:$A$42,$A22,'추가 변수'!$C$2:$C$42)*10</x:f>
        <x:v>2.531001533498042</x:v>
      </x:c>
      <x:c r="D22" t="n">
        <x:f>AVERAGEIF('추가 변수'!$A$2:$A$42,$A22,'추가 변수'!$D$2:$D$42)*10</x:f>
        <x:v>2.518855916613557</x:v>
      </x:c>
      <x:c r="E22" t="n">
        <x:f>AVERAGEIF('추가 변수'!$A$2:$A$42,$A22,'추가 변수'!$E$2:$E$42)*10</x:f>
        <x:v>2.5092845144701172</x:v>
      </x:c>
      <x:c r="F22" t="n">
        <x:f>AVERAGEIF('추가 변수'!$A$2:$A$42,$A22,'추가 변수'!$F$2:$F$42)*10</x:f>
        <x:v>2.538506702322007</x:v>
      </x:c>
      <x:c r="G22" t="n">
        <x:f>AVERAGEIF('추가 변수'!$A$2:$A$42,$A22,'추가 변수'!$G$2:$G$42)*10</x:f>
        <x:v>2.5009820670976453</x:v>
      </x:c>
    </x:row>
    <x:row r="23">
      <x:c r="A23" t="str">
        <x:v>2025년 4월 3일 ~ 4월 9일</x:v>
      </x:c>
      <x:c r="B23" t="n">
        <x:f>AVERAGEIF('추가 변수'!$A$2:$A$42,$A23,'추가 변수'!$B$2:$B$42)*10</x:f>
        <x:v>2.5430852319876545</x:v>
      </x:c>
      <x:c r="C23" t="n">
        <x:f>AVERAGEIF('추가 변수'!$A$2:$A$42,$A23,'추가 변수'!$C$2:$C$42)*10</x:f>
        <x:v>2.553772999393889</x:v>
      </x:c>
      <x:c r="D23" t="n">
        <x:f>AVERAGEIF('추가 변수'!$A$2:$A$42,$A23,'추가 변수'!$D$2:$D$42)*10</x:f>
        <x:v>2.5311686138324068</x:v>
      </x:c>
      <x:c r="E23" t="n">
        <x:f>AVERAGEIF('추가 변수'!$A$2:$A$42,$A23,'추가 변수'!$E$2:$E$42)*10</x:f>
        <x:v>2.5310238326837804</x:v>
      </x:c>
      <x:c r="F23" t="n">
        <x:f>AVERAGEIF('추가 변수'!$A$2:$A$42,$A23,'추가 변수'!$F$2:$F$42)*10</x:f>
        <x:v>2.509484001986035</x:v>
      </x:c>
      <x:c r="G23" t="n">
        <x:f>AVERAGEIF('추가 변수'!$A$2:$A$42,$A23,'추가 변수'!$G$2:$G$42)*10</x:f>
        <x:v>2.5174601688475358</x:v>
      </x:c>
    </x:row>
    <x:row r="24">
      <x:c r="A24" t="str">
        <x:v>2025년 09월 21일</x:v>
      </x:c>
      <x:c r="B24" t="n">
        <x:f>AVERAGEIF('추가 변수'!$A$2:$A$42,$A24,'추가 변수'!$B$2:$B$42)*10</x:f>
        <x:v>2.5335526787853913</x:v>
      </x:c>
      <x:c r="C24" t="n">
        <x:f>AVERAGEIF('추가 변수'!$A$2:$A$42,$A24,'추가 변수'!$C$2:$C$42)*10</x:f>
        <x:v>2.518138251131021</x:v>
      </x:c>
      <x:c r="D24" t="n">
        <x:f>AVERAGEIF('추가 변수'!$A$2:$A$42,$A24,'추가 변수'!$D$2:$D$42)*10</x:f>
        <x:v>2.553032930015763</x:v>
      </x:c>
      <x:c r="E24" t="n">
        <x:f>AVERAGEIF('추가 변수'!$A$2:$A$42,$A24,'추가 변수'!$E$2:$E$42)*10</x:f>
        <x:v>2.6053337026750163</x:v>
      </x:c>
      <x:c r="F24" t="n">
        <x:f>AVERAGEIF('추가 변수'!$A$2:$A$42,$A24,'추가 변수'!$F$2:$F$42)*10</x:f>
        <x:v>2.5180582209770304</x:v>
      </x:c>
      <x:c r="G24" t="n">
        <x:f>AVERAGEIF('추가 변수'!$A$2:$A$42,$A24,'추가 변수'!$G$2:$G$42)*10</x:f>
        <x:v>2.5943791909551623</x:v>
      </x:c>
    </x:row>
    <x:row r="25">
      <x:c r="A25" t="str">
        <x:v>2025.06.15</x:v>
      </x:c>
      <x:c r="B25" t="n">
        <x:f>AVERAGEIF('추가 변수'!$A$2:$A$42,$A25,'추가 변수'!$B$2:$B$42)*10</x:f>
        <x:v>2.495314392631781</x:v>
      </x:c>
      <x:c r="C25" t="n">
        <x:f>AVERAGEIF('추가 변수'!$A$2:$A$42,$A25,'추가 변수'!$C$2:$C$42)*10</x:f>
        <x:v>2.520079262697714</x:v>
      </x:c>
      <x:c r="D25" t="n">
        <x:f>AVERAGEIF('추가 변수'!$A$2:$A$42,$A25,'추가 변수'!$D$2:$D$42)*10</x:f>
        <x:v>2.531360045464857</x:v>
      </x:c>
      <x:c r="E25" t="n">
        <x:f>AVERAGEIF('추가 변수'!$A$2:$A$42,$A25,'추가 변수'!$E$2:$E$42)*10</x:f>
        <x:v>2.585421204039317</x:v>
      </x:c>
      <x:c r="F25" t="n">
        <x:f>AVERAGEIF('추가 변수'!$A$2:$A$42,$A25,'추가 변수'!$F$2:$F$42)*10</x:f>
        <x:v>2.487920705082809</x:v>
      </x:c>
      <x:c r="G25" t="n">
        <x:f>AVERAGEIF('추가 변수'!$A$2:$A$42,$A25,'추가 변수'!$G$2:$G$42)*10</x:f>
        <x:v>2.434727775948308</x:v>
      </x:c>
    </x:row>
    <x:row r="26">
      <x:c r="A26" t="str">
        <x:v>2025.02.11</x:v>
      </x:c>
      <x:c r="B26" t="n">
        <x:f>AVERAGEIF('추가 변수'!$A$2:$A$42,$A26,'추가 변수'!$B$2:$B$42)*10</x:f>
        <x:v>2.54688733679017</x:v>
      </x:c>
      <x:c r="C26" t="n">
        <x:f>AVERAGEIF('추가 변수'!$A$2:$A$42,$A26,'추가 변수'!$C$2:$C$42)*10</x:f>
        <x:v>2.4729062153618413</x:v>
      </x:c>
      <x:c r="D26" t="n">
        <x:f>AVERAGEIF('추가 변수'!$A$2:$A$42,$A26,'추가 변수'!$D$2:$D$42)*10</x:f>
        <x:v>2.5293475787847903</x:v>
      </x:c>
      <x:c r="E26" t="n">
        <x:f>AVERAGEIF('추가 변수'!$A$2:$A$42,$A26,'추가 변수'!$E$2:$E$42)*10</x:f>
        <x:v>2.530616940165053</x:v>
      </x:c>
      <x:c r="F26" t="n">
        <x:f>AVERAGEIF('추가 변수'!$A$2:$A$42,$A26,'추가 변수'!$F$2:$F$42)*10</x:f>
        <x:v>2.475469415103395</x:v>
      </x:c>
      <x:c r="G26" t="n">
        <x:f>AVERAGEIF('추가 변수'!$A$2:$A$42,$A26,'추가 변수'!$G$2:$G$42)*10</x:f>
        <x:v>2.521603877004261</x:v>
      </x:c>
    </x:row>
    <x:row r="27">
      <x:c r="A27" t="str">
        <x:v>2024.10.11 ~ 10.15</x:v>
      </x:c>
      <x:c r="B27" t="n">
        <x:f>AVERAGEIF('추가 변수'!$A$2:$A$42,$A27,'추가 변수'!$B$2:$B$42)*10</x:f>
        <x:v>2.458203888390157</x:v>
      </x:c>
      <x:c r="C27" t="n">
        <x:f>AVERAGEIF('추가 변수'!$A$2:$A$42,$A27,'추가 변수'!$C$2:$C$42)*10</x:f>
        <x:v>2.5161990540145855</x:v>
      </x:c>
      <x:c r="D27" t="n">
        <x:f>AVERAGEIF('추가 변수'!$A$2:$A$42,$A27,'추가 변수'!$D$2:$D$42)*10</x:f>
        <x:v>2.493747921353019</x:v>
      </x:c>
      <x:c r="E27" t="n">
        <x:f>AVERAGEIF('추가 변수'!$A$2:$A$42,$A27,'추가 변수'!$E$2:$E$42)*10</x:f>
        <x:v>2.517746258062944</x:v>
      </x:c>
      <x:c r="F27" t="n">
        <x:f>AVERAGEIF('추가 변수'!$A$2:$A$42,$A27,'추가 변수'!$F$2:$F$42)*10</x:f>
        <x:v>2.514350593619822</x:v>
      </x:c>
      <x:c r="G27" t="n">
        <x:f>AVERAGEIF('추가 변수'!$A$2:$A$42,$A27,'추가 변수'!$G$2:$G$42)*10</x:f>
        <x:v>2.5266828279767637</x:v>
      </x:c>
    </x:row>
    <x:row r="28">
      <x:c r="A28" t="str">
        <x:v>2025.09.11 ~ 09.16</x:v>
      </x:c>
      <x:c r="B28" t="n">
        <x:f>AVERAGEIF('추가 변수'!$A$2:$A$42,$A28,'추가 변수'!$B$2:$B$42)*10</x:f>
        <x:v>2.150991093100727</x:v>
      </x:c>
      <x:c r="C28" t="n">
        <x:f>AVERAGEIF('추가 변수'!$A$2:$A$42,$A28,'추가 변수'!$C$2:$C$42)*10</x:f>
        <x:v>2.13963527479208</x:v>
      </x:c>
      <x:c r="D28" t="n">
        <x:f>AVERAGEIF('추가 변수'!$A$2:$A$42,$A28,'추가 변수'!$D$2:$D$42)*10</x:f>
        <x:v>2.141150637741905</x:v>
      </x:c>
      <x:c r="E28" t="n">
        <x:f>AVERAGEIF('추가 변수'!$A$2:$A$42,$A28,'추가 변수'!$E$2:$E$42)*10</x:f>
        <x:v>2.1324249918586355</x:v>
      </x:c>
      <x:c r="F28" t="n">
        <x:f>AVERAGEIF('추가 변수'!$A$2:$A$42,$A28,'추가 변수'!$F$2:$F$42)*10</x:f>
        <x:v>2.5611627145911493</x:v>
      </x:c>
      <x:c r="G28" t="n">
        <x:f>AVERAGEIF('추가 변수'!$A$2:$A$42,$A28,'추가 변수'!$G$2:$G$42)*10</x:f>
        <x:v>2.517789730093167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3" t="str">
        <x:v>기간</x:v>
      </x:c>
      <x:c r="B1" s="13" t="str">
        <x:v>일수</x:v>
      </x:c>
      <x:c r="C1" s="13" t="str">
        <x:v>가스 실제(Nm³)</x:v>
      </x:c>
      <x:c r="D1" s="13" t="str">
        <x:v>가스 목표(Nm³)</x:v>
      </x:c>
      <x:c r="E1" s="13" t="str">
        <x:v>가스 손익(백만원)</x:v>
      </x:c>
      <x:c r="F1" s="13" t="str">
        <x:v>약품 A+B 실제(kg)</x:v>
      </x:c>
      <x:c r="G1" s="13" t="str">
        <x:v>약품 A+B 목표(kg)</x:v>
      </x:c>
      <x:c r="H1" s="13" t="str">
        <x:v>약품 손익(백만원)</x:v>
      </x:c>
      <x:c r="I1" s="13" t="str">
        <x:v>스팀 실제(t/h·×10)</x:v>
      </x:c>
      <x:c r="J1" s="13" t="str">
        <x:v>스팀 목표</x:v>
      </x:c>
      <x:c r="K1" s="13" t="str">
        <x:v>스팀 손익(백만원)</x:v>
      </x:c>
      <x:c r="L1" s="13" t="str">
        <x:v>총 손익(백만원)</x:v>
      </x:c>
      <x:c r="M1" s="13" t="str">
        <x:v>스팀 손익 환산단가(원/t)</x:v>
      </x:c>
      <x:c r="N1" s="13" t="str">
        <x:v>스팀 기본단가(원/t)</x:v>
      </x:c>
    </x:row>
    <x:row r="2">
      <x:c r="A2" t="str">
        <x:v>2024년 2월 14일 ~ 2월 22일</x:v>
      </x:c>
      <x:c r="B2" t="n">
        <x:v>9</x:v>
      </x:c>
      <x:c r="C2" t="n">
        <x:f>SUMIF('일별 KPI·변수'!$A$2:$A$42,$A2,'일별 KPI·변수'!$O$2:$O$42)</x:f>
        <x:v>9469010.115258327</x:v>
      </x:c>
      <x:c r="D2" t="n">
        <x:f>B2*1042423.4621</x:f>
        <x:v>9381811.1589</x:v>
      </x:c>
      <x:c r="E2" t="n">
        <x:f>(C2-D2)*90/1000000</x:f>
        <x:v>7.847906072249394</x:v>
      </x:c>
      <x:c r="F2" t="n">
        <x:f>SUMIF('일별 KPI·변수'!$A$2:$A$42,$A2,'일별 KPI·변수'!$V$2:$V$42)+SUMIF('일별 KPI·변수'!$A$2:$A$42,$A2,'일별 KPI·변수'!$W$2:$W$42)</x:f>
        <x:v>12476.119582272751</x:v>
      </x:c>
      <x:c r="G2" t="n">
        <x:f>B2*(497.46725+898.13507)</x:f>
        <x:v>12560.42088</x:v>
      </x:c>
      <x:c r="H2" t="n">
        <x:f>((B2*497.46725-SUMIF('일별 KPI·변수'!$A$2:$A$42,$A2,'일별 KPI·변수'!$V$2:$V$42))*154000+(B2*898.13507-SUMIF('일별 KPI·변수'!$A$2:$A$42,$A2,'일별 KPI·변수'!$W$2:$W$42))*128000)/1000000</x:f>
        <x:v>11.645495551674465</x:v>
      </x:c>
      <x:c r="I2" t="n">
        <x:f>(SUMIF('추가 변수'!$A$2:$A$42,$A2,'추가 변수'!$B$2:$B$42)+SUMIF('추가 변수'!$A$2:$A$42,$A2,'추가 변수'!$C$2:$C$42)+SUMIF('추가 변수'!$A$2:$A$42,$A2,'추가 변수'!$D$2:$D$42)+SUMIF('추가 변수'!$A$2:$A$42,$A2,'추가 변수'!$E$2:$E$42)+SUMIF('추가 변수'!$A$2:$A$42,$A2,'추가 변수'!$F$2:$F$42)+SUMIF('추가 변수'!$A$2:$A$42,$A2,'추가 변수'!$G$2:$G$42))*10*24</x:f>
        <x:v>3252.4184493358216</x:v>
      </x:c>
      <x:c r="J2" t="n">
        <x:f>B2*36.4426*10</x:f>
        <x:v>3279.834</x:v>
      </x:c>
      <x:c r="K2" t="n">
        <x:f>(J2-I2)*M2/1000000</x:f>
        <x:v>3.8381770929849517</x:v>
      </x:c>
      <x:c r="L2" t="n">
        <x:f>E2+H2+K2</x:f>
        <x:v>23.331578716908812</x:v>
      </x:c>
      <x:c r="M2" t="n">
        <x:f>N2/10</x:f>
        <x:v>140000</x:v>
      </x:c>
      <x:c r="N2" t="n">
        <x:v>1400000</x:v>
      </x:c>
    </x:row>
    <x:row r="3">
      <x:c r="A3" t="str">
        <x:v>2024년 07월 06일</x:v>
      </x:c>
      <x:c r="B3" t="n">
        <x:v>1</x:v>
      </x:c>
      <x:c r="C3" t="n">
        <x:f>SUMIF('일별 KPI·변수'!$A$2:$A$42,$A3,'일별 KPI·변수'!$O$2:$O$42)</x:f>
        <x:v>1072479.172219319</x:v>
      </x:c>
      <x:c r="D3" t="n">
        <x:f>B3*1042423.4621</x:f>
        <x:v>1042423.4621</x:v>
      </x:c>
      <x:c r="E3" t="n">
        <x:f>(C3-D3)*90/1000000</x:f>
        <x:v>2.705013910738713</x:v>
      </x:c>
      <x:c r="F3" t="n">
        <x:f>SUMIF('일별 KPI·변수'!$A$2:$A$42,$A3,'일별 KPI·변수'!$V$2:$V$42)+SUMIF('일별 KPI·변수'!$A$2:$A$42,$A3,'일별 KPI·변수'!$W$2:$W$42)</x:f>
        <x:v>1394.943819722887</x:v>
      </x:c>
      <x:c r="G3" t="n">
        <x:f>B3*(497.46725+898.13507)</x:f>
        <x:v>1395.60232</x:v>
      </x:c>
      <x:c r="H3" t="n">
        <x:f>((B3*497.46725-SUMIF('일별 KPI·변수'!$A$2:$A$42,$A3,'일별 KPI·변수'!$V$2:$V$42))*154000+(B3*898.13507-SUMIF('일별 KPI·변수'!$A$2:$A$42,$A3,'일별 KPI·변수'!$W$2:$W$42))*128000)/1000000</x:f>
        <x:v>0.12763513347216904</x:v>
      </x:c>
      <x:c r="I3" t="n">
        <x:f>(SUMIF('추가 변수'!$A$2:$A$42,$A3,'추가 변수'!$B$2:$B$42)+SUMIF('추가 변수'!$A$2:$A$42,$A3,'추가 변수'!$C$2:$C$42)+SUMIF('추가 변수'!$A$2:$A$42,$A3,'추가 변수'!$D$2:$D$42)+SUMIF('추가 변수'!$A$2:$A$42,$A3,'추가 변수'!$E$2:$E$42)+SUMIF('추가 변수'!$A$2:$A$42,$A3,'추가 변수'!$F$2:$F$42)+SUMIF('추가 변수'!$A$2:$A$42,$A3,'추가 변수'!$G$2:$G$42))*10*24</x:f>
        <x:v>362.5550372520957</x:v>
      </x:c>
      <x:c r="J3" t="n">
        <x:f>B3*36.4426*10</x:f>
        <x:v>364.426</x:v>
      </x:c>
      <x:c r="K3" t="n">
        <x:f>(J3-I3)*M3/1000000</x:f>
        <x:v>0.2993540396646858</x:v>
      </x:c>
      <x:c r="L3" t="n">
        <x:f>E3+H3+K3</x:f>
        <x:v>3.132003083875568</x:v>
      </x:c>
      <x:c r="M3" t="n">
        <x:f>N3/10</x:f>
        <x:v>160000</x:v>
      </x:c>
      <x:c r="N3" t="n">
        <x:v>1600000</x:v>
      </x:c>
    </x:row>
    <x:row r="4">
      <x:c r="A4" t="str">
        <x:v>2024년 11월 18일 ~ 11월 27일</x:v>
      </x:c>
      <x:c r="B4" t="n">
        <x:v>10</x:v>
      </x:c>
      <x:c r="C4" t="n">
        <x:f>SUMIF('일별 KPI·변수'!$A$2:$A$42,$A4,'일별 KPI·변수'!$O$2:$O$42)</x:f>
        <x:v>10503918.112831715</x:v>
      </x:c>
      <x:c r="D4" t="n">
        <x:f>B4*1042423.4621</x:f>
        <x:v>10424234.621</x:v>
      </x:c>
      <x:c r="E4" t="n">
        <x:f>(C4-D4)*90/1000000</x:f>
        <x:v>7.171514264854453</x:v>
      </x:c>
      <x:c r="F4" t="n">
        <x:f>SUMIF('일별 KPI·변수'!$A$2:$A$42,$A4,'일별 KPI·변수'!$V$2:$V$42)+SUMIF('일별 KPI·변수'!$A$2:$A$42,$A4,'일별 KPI·변수'!$W$2:$W$42)</x:f>
        <x:v>13801.213838919468</x:v>
      </x:c>
      <x:c r="G4" t="n">
        <x:f>B4*(497.46725+898.13507)</x:f>
        <x:v>13956.0232</x:v>
      </x:c>
      <x:c r="H4" t="n">
        <x:f>((B4*497.46725-SUMIF('일별 KPI·변수'!$A$2:$A$42,$A4,'일별 KPI·변수'!$V$2:$V$42))*154000+(B4*898.13507-SUMIF('일별 KPI·변수'!$A$2:$A$42,$A4,'일별 KPI·변수'!$W$2:$W$42))*128000)/1000000</x:f>
        <x:v>20.93307087163652</x:v>
      </x:c>
      <x:c r="I4" t="n">
        <x:f>(SUMIF('추가 변수'!$A$2:$A$42,$A4,'추가 변수'!$B$2:$B$42)+SUMIF('추가 변수'!$A$2:$A$42,$A4,'추가 변수'!$C$2:$C$42)+SUMIF('추가 변수'!$A$2:$A$42,$A4,'추가 변수'!$D$2:$D$42)+SUMIF('추가 변수'!$A$2:$A$42,$A4,'추가 변수'!$E$2:$E$42)+SUMIF('추가 변수'!$A$2:$A$42,$A4,'추가 변수'!$F$2:$F$42)+SUMIF('추가 변수'!$A$2:$A$42,$A4,'추가 변수'!$G$2:$G$42))*10*24</x:f>
        <x:v>3624.6139749075646</x:v>
      </x:c>
      <x:c r="J4" t="n">
        <x:f>B4*36.4426*10</x:f>
        <x:v>3644.2599999999998</x:v>
      </x:c>
      <x:c r="K4" t="n">
        <x:f>(J4-I4)*M4/1000000</x:f>
        <x:v>2.946903763865271</x:v>
      </x:c>
      <x:c r="L4" t="n">
        <x:f>E4+H4+K4</x:f>
        <x:v>31.051488900356247</x:v>
      </x:c>
      <x:c r="M4" t="n">
        <x:f>N4/10</x:f>
        <x:v>150000</x:v>
      </x:c>
      <x:c r="N4" t="n">
        <x:v>1500000</x:v>
      </x:c>
    </x:row>
    <x:row r="5">
      <x:c r="A5" t="str">
        <x:v>2025년 4월 3일 ~ 4월 9일</x:v>
      </x:c>
      <x:c r="B5" t="n">
        <x:v>7</x:v>
      </x:c>
      <x:c r="C5" t="n">
        <x:f>SUMIF('일별 KPI·변수'!$A$2:$A$42,$A5,'일별 KPI·변수'!$O$2:$O$42)</x:f>
        <x:v>7221185.21245608</x:v>
      </x:c>
      <x:c r="D5" t="n">
        <x:f>B5*1042423.4621</x:f>
        <x:v>7296964.2347</x:v>
      </x:c>
      <x:c r="E5" t="n">
        <x:f>(C5-D5)*90/1000000</x:f>
        <x:v>-6.82011200195278</x:v>
      </x:c>
      <x:c r="F5" t="n">
        <x:f>SUMIF('일별 KPI·변수'!$A$2:$A$42,$A5,'일별 KPI·변수'!$V$2:$V$42)+SUMIF('일별 KPI·변수'!$A$2:$A$42,$A5,'일별 KPI·변수'!$W$2:$W$42)</x:f>
        <x:v>9574.44472739462</x:v>
      </x:c>
      <x:c r="G5" t="n">
        <x:f>B5*(497.46725+898.13507)</x:f>
        <x:v>9769.21624</x:v>
      </x:c>
      <x:c r="H5" t="n">
        <x:f>((B5*497.46725-SUMIF('일별 KPI·변수'!$A$2:$A$42,$A5,'일별 KPI·변수'!$V$2:$V$42))*154000+(B5*898.13507-SUMIF('일별 KPI·변수'!$A$2:$A$42,$A5,'일별 KPI·변수'!$W$2:$W$42))*128000)/1000000</x:f>
        <x:v>28.10268252034691</x:v>
      </x:c>
      <x:c r="I5" t="n">
        <x:f>(SUMIF('추가 변수'!$A$2:$A$42,$A5,'추가 변수'!$B$2:$B$42)+SUMIF('추가 변수'!$A$2:$A$42,$A5,'추가 변수'!$C$2:$C$42)+SUMIF('추가 변수'!$A$2:$A$42,$A5,'추가 변수'!$D$2:$D$42)+SUMIF('추가 변수'!$A$2:$A$42,$A5,'추가 변수'!$E$2:$E$42)+SUMIF('추가 변수'!$A$2:$A$42,$A5,'추가 변수'!$F$2:$F$42)+SUMIF('추가 변수'!$A$2:$A$42,$A5,'추가 변수'!$G$2:$G$42))*10*24</x:f>
        <x:v>2551.247134586859</x:v>
      </x:c>
      <x:c r="J5" t="n">
        <x:f>B5*36.4426*10</x:f>
        <x:v>2550.982</x:v>
      </x:c>
      <x:c r="K5" t="n">
        <x:f>(J5-I5)*M5/1000000</x:f>
        <x:v>-0.045072879766021284</x:v>
      </x:c>
      <x:c r="L5" t="n">
        <x:f>E5+H5+K5</x:f>
        <x:v>21.23749763862811</x:v>
      </x:c>
      <x:c r="M5" t="n">
        <x:f>N5/10</x:f>
        <x:v>170000</x:v>
      </x:c>
      <x:c r="N5" t="n">
        <x:v>1700000</x:v>
      </x:c>
    </x:row>
    <x:row r="6">
      <x:c r="A6" t="str">
        <x:v>2025년 09월 21일</x:v>
      </x:c>
      <x:c r="B6" t="n">
        <x:v>1</x:v>
      </x:c>
      <x:c r="C6" t="n">
        <x:f>SUMIF('일별 KPI·변수'!$A$2:$A$42,$A6,'일별 KPI·변수'!$O$2:$O$42)</x:f>
        <x:v>1063514.977588905</x:v>
      </x:c>
      <x:c r="D6" t="n">
        <x:f>B6*1042423.4621</x:f>
        <x:v>1042423.4621</x:v>
      </x:c>
      <x:c r="E6" t="n">
        <x:f>(C6-D6)*90/1000000</x:f>
        <x:v>1.8982363940014515</x:v>
      </x:c>
      <x:c r="F6" t="n">
        <x:f>SUMIF('일별 KPI·변수'!$A$2:$A$42,$A6,'일별 KPI·변수'!$V$2:$V$42)+SUMIF('일별 KPI·변수'!$A$2:$A$42,$A6,'일별 KPI·변수'!$W$2:$W$42)</x:f>
        <x:v>1395.2145989712187</x:v>
      </x:c>
      <x:c r="G6" t="n">
        <x:f>B6*(497.46725+898.13507)</x:f>
        <x:v>1395.60232</x:v>
      </x:c>
      <x:c r="H6" t="n">
        <x:f>((B6*497.46725-SUMIF('일별 KPI·변수'!$A$2:$A$42,$A6,'일별 KPI·변수'!$V$2:$V$42))*154000+(B6*898.13507-SUMIF('일별 KPI·변수'!$A$2:$A$42,$A6,'일별 KPI·변수'!$W$2:$W$42))*128000)/1000000</x:f>
        <x:v>0.10511229424104113</x:v>
      </x:c>
      <x:c r="I6" t="n">
        <x:f>(SUMIF('추가 변수'!$A$2:$A$42,$A6,'추가 변수'!$B$2:$B$42)+SUMIF('추가 변수'!$A$2:$A$42,$A6,'추가 변수'!$C$2:$C$42)+SUMIF('추가 변수'!$A$2:$A$42,$A6,'추가 변수'!$D$2:$D$42)+SUMIF('추가 변수'!$A$2:$A$42,$A6,'추가 변수'!$E$2:$E$42)+SUMIF('추가 변수'!$A$2:$A$42,$A6,'추가 변수'!$F$2:$F$42)+SUMIF('추가 변수'!$A$2:$A$42,$A6,'추가 변수'!$G$2:$G$42))*10*24</x:f>
        <x:v>367.73987938894527</x:v>
      </x:c>
      <x:c r="J6" t="n">
        <x:f>B6*36.4426*10</x:f>
        <x:v>364.426</x:v>
      </x:c>
      <x:c r="K6" t="n">
        <x:f>(J6-I6)*M6/1000000</x:f>
        <x:v>-0.5964982900101506</x:v>
      </x:c>
      <x:c r="L6" t="n">
        <x:f>E6+H6+K6</x:f>
        <x:v>1.4068503982323421</x:v>
      </x:c>
      <x:c r="M6" t="n">
        <x:f>N6/10</x:f>
        <x:v>180000</x:v>
      </x:c>
      <x:c r="N6" t="n">
        <x:v>1800000</x:v>
      </x:c>
    </x:row>
    <x:row r="7">
      <x:c r="A7" t="str">
        <x:v>2025.06.15</x:v>
      </x:c>
      <x:c r="B7" t="n">
        <x:v>1</x:v>
      </x:c>
      <x:c r="C7" t="n">
        <x:f>SUMIF('일별 KPI·변수'!$A$2:$A$42,$A7,'일별 KPI·변수'!$O$2:$O$42)</x:f>
        <x:v>1036761.533737434</x:v>
      </x:c>
      <x:c r="D7" t="n">
        <x:f>B7*1042423.4621</x:f>
        <x:v>1042423.4621</x:v>
      </x:c>
      <x:c r="E7" t="n">
        <x:f>(C7-D7)*90/1000000</x:f>
        <x:v>-0.5095735526309442</x:v>
      </x:c>
      <x:c r="F7" t="n">
        <x:f>SUMIF('일별 KPI·변수'!$A$2:$A$42,$A7,'일별 KPI·변수'!$V$2:$V$42)+SUMIF('일별 KPI·변수'!$A$2:$A$42,$A7,'일별 KPI·변수'!$W$2:$W$42)</x:f>
        <x:v>1393.828904070438</x:v>
      </x:c>
      <x:c r="G7" t="n">
        <x:f>B7*(497.46725+898.13507)</x:f>
        <x:v>1395.60232</x:v>
      </x:c>
      <x:c r="H7" t="n">
        <x:f>((B7*497.46725-SUMIF('일별 KPI·변수'!$A$2:$A$42,$A7,'일별 KPI·변수'!$V$2:$V$42))*154000+(B7*898.13507-SUMIF('일별 KPI·변수'!$A$2:$A$42,$A7,'일별 KPI·변수'!$W$2:$W$42))*128000)/1000000</x:f>
        <x:v>0.2443140837918147</x:v>
      </x:c>
      <x:c r="I7" t="n">
        <x:f>(SUMIF('추가 변수'!$A$2:$A$42,$A7,'추가 변수'!$B$2:$B$42)+SUMIF('추가 변수'!$A$2:$A$42,$A7,'추가 변수'!$C$2:$C$42)+SUMIF('추가 변수'!$A$2:$A$42,$A7,'추가 변수'!$D$2:$D$42)+SUMIF('추가 변수'!$A$2:$A$42,$A7,'추가 변수'!$E$2:$E$42)+SUMIF('추가 변수'!$A$2:$A$42,$A7,'추가 변수'!$F$2:$F$42)+SUMIF('추가 변수'!$A$2:$A$42,$A7,'추가 변수'!$G$2:$G$42))*10*24</x:f>
        <x:v>361.3157612607549</x:v>
      </x:c>
      <x:c r="J7" t="n">
        <x:f>B7*36.4426*10</x:f>
        <x:v>364.426</x:v>
      </x:c>
      <x:c r="K7" t="n">
        <x:f>(J7-I7)*M7/1000000</x:f>
        <x:v>0.5287405856716606</x:v>
      </x:c>
      <x:c r="L7" t="n">
        <x:f>E7+H7+K7</x:f>
        <x:v>0.26348111683253117</x:v>
      </x:c>
      <x:c r="M7" t="n">
        <x:f>N7/10</x:f>
        <x:v>170000</x:v>
      </x:c>
      <x:c r="N7" t="n">
        <x:v>1700000</x:v>
      </x:c>
    </x:row>
    <x:row r="8">
      <x:c r="A8" t="str">
        <x:v>2025.02.11</x:v>
      </x:c>
      <x:c r="B8" t="n">
        <x:v>1</x:v>
      </x:c>
      <x:c r="C8" t="n">
        <x:f>SUMIF('일별 KPI·변수'!$A$2:$A$42,$A8,'일별 KPI·변수'!$O$2:$O$42)</x:f>
        <x:v>1028965.497344934</x:v>
      </x:c>
      <x:c r="D8" t="n">
        <x:f>B8*1042423.4621</x:f>
        <x:v>1042423.4621</x:v>
      </x:c>
      <x:c r="E8" t="n">
        <x:f>(C8-D8)*90/1000000</x:f>
        <x:v>-1.2112168279559374</x:v>
      </x:c>
      <x:c r="F8" t="n">
        <x:f>SUMIF('일별 KPI·변수'!$A$2:$A$42,$A8,'일별 KPI·변수'!$V$2:$V$42)+SUMIF('일별 KPI·변수'!$A$2:$A$42,$A8,'일별 KPI·변수'!$W$2:$W$42)</x:f>
        <x:v>1369.003841803141</x:v>
      </x:c>
      <x:c r="G8" t="n">
        <x:f>B8*(497.46725+898.13507)</x:f>
        <x:v>1395.60232</x:v>
      </x:c>
      <x:c r="H8" t="n">
        <x:f>((B8*497.46725-SUMIF('일별 KPI·변수'!$A$2:$A$42,$A8,'일별 KPI·변수'!$V$2:$V$42))*154000+(B8*898.13507-SUMIF('일별 KPI·변수'!$A$2:$A$42,$A8,'일별 KPI·변수'!$W$2:$W$42))*128000)/1000000</x:f>
        <x:v>3.570825932445622</x:v>
      </x:c>
      <x:c r="I8" t="n">
        <x:f>(SUMIF('추가 변수'!$A$2:$A$42,$A8,'추가 변수'!$B$2:$B$42)+SUMIF('추가 변수'!$A$2:$A$42,$A8,'추가 변수'!$C$2:$C$42)+SUMIF('추가 변수'!$A$2:$A$42,$A8,'추가 변수'!$D$2:$D$42)+SUMIF('추가 변수'!$A$2:$A$42,$A8,'추가 변수'!$E$2:$E$42)+SUMIF('추가 변수'!$A$2:$A$42,$A8,'추가 변수'!$F$2:$F$42)+SUMIF('추가 변수'!$A$2:$A$42,$A8,'추가 변수'!$G$2:$G$42))*10*24</x:f>
        <x:v>361.8439527170283</x:v>
      </x:c>
      <x:c r="J8" t="n">
        <x:f>B8*36.4426*10</x:f>
        <x:v>364.426</x:v>
      </x:c>
      <x:c r="K8" t="n">
        <x:f>(J8-I8)*M8/1000000</x:f>
        <x:v>0.41312756527547206</x:v>
      </x:c>
      <x:c r="L8" t="n">
        <x:f>E8+H8+K8</x:f>
        <x:v>2.7727366697651568</x:v>
      </x:c>
      <x:c r="M8" t="n">
        <x:f>N8/10</x:f>
        <x:v>160000</x:v>
      </x:c>
      <x:c r="N8" t="n">
        <x:v>1600000</x:v>
      </x:c>
    </x:row>
    <x:row r="9">
      <x:c r="A9" t="str">
        <x:v>2024.10.11 ~ 10.15</x:v>
      </x:c>
      <x:c r="B9" t="n">
        <x:v>5</x:v>
      </x:c>
      <x:c r="C9" t="n">
        <x:f>SUMIF('일별 KPI·변수'!$A$2:$A$42,$A9,'일별 KPI·변수'!$O$2:$O$42)</x:f>
        <x:v>5257984.105167334</x:v>
      </x:c>
      <x:c r="D9" t="n">
        <x:f>B9*1042423.4621</x:f>
        <x:v>5212117.3105</x:v>
      </x:c>
      <x:c r="E9" t="n">
        <x:f>(C9-D9)*90/1000000</x:f>
        <x:v>4.128011520060086</x:v>
      </x:c>
      <x:c r="F9" t="n">
        <x:f>SUMIF('일별 KPI·변수'!$A$2:$A$42,$A9,'일별 KPI·변수'!$V$2:$V$42)+SUMIF('일별 KPI·변수'!$A$2:$A$42,$A9,'일별 KPI·변수'!$W$2:$W$42)</x:f>
        <x:v>6915.669880707614</x:v>
      </x:c>
      <x:c r="G9" t="n">
        <x:f>B9*(497.46725+898.13507)</x:f>
        <x:v>6978.0116</x:v>
      </x:c>
      <x:c r="H9" t="n">
        <x:f>((B9*497.46725-SUMIF('일별 KPI·변수'!$A$2:$A$42,$A9,'일별 KPI·변수'!$V$2:$V$42))*154000+(B9*898.13507-SUMIF('일별 KPI·변수'!$A$2:$A$42,$A9,'일별 KPI·변수'!$W$2:$W$42))*128000)/1000000</x:f>
        <x:v>8.404721319528289</x:v>
      </x:c>
      <x:c r="I9" t="n">
        <x:f>(SUMIF('추가 변수'!$A$2:$A$42,$A9,'추가 변수'!$B$2:$B$42)+SUMIF('추가 변수'!$A$2:$A$42,$A9,'추가 변수'!$C$2:$C$42)+SUMIF('추가 변수'!$A$2:$A$42,$A9,'추가 변수'!$D$2:$D$42)+SUMIF('추가 변수'!$A$2:$A$42,$A9,'추가 변수'!$E$2:$E$42)+SUMIF('추가 변수'!$A$2:$A$42,$A9,'추가 변수'!$F$2:$F$42)+SUMIF('추가 변수'!$A$2:$A$42,$A9,'추가 변수'!$G$2:$G$42))*10*24</x:f>
        <x:v>1803.2316652100749</x:v>
      </x:c>
      <x:c r="J9" t="n">
        <x:f>B9*36.4426*10</x:f>
        <x:v>1822.1299999999999</x:v>
      </x:c>
      <x:c r="K9" t="n">
        <x:f>(J9-I9)*M9/1000000</x:f>
        <x:v>2.8347502184887503</x:v>
      </x:c>
      <x:c r="L9" t="n">
        <x:f>E9+H9+K9</x:f>
        <x:v>15.367483058077125</x:v>
      </x:c>
      <x:c r="M9" t="n">
        <x:f>N9/10</x:f>
        <x:v>150000</x:v>
      </x:c>
      <x:c r="N9" t="n">
        <x:v>1500000</x:v>
      </x:c>
    </x:row>
    <x:row r="10">
      <x:c r="A10" t="str">
        <x:v>2025.09.11 ~ 09.16</x:v>
      </x:c>
      <x:c r="B10" t="n">
        <x:v>6</x:v>
      </x:c>
      <x:c r="C10" t="n">
        <x:f>SUMIF('일별 KPI·변수'!$A$2:$A$42,$A10,'일별 KPI·변수'!$O$2:$O$42)</x:f>
        <x:v>6280384.836729634</x:v>
      </x:c>
      <x:c r="D10" t="n">
        <x:f>B10*1042423.4621</x:f>
        <x:v>6254540.7726</x:v>
      </x:c>
      <x:c r="E10" t="n">
        <x:f>(C10-D10)*90/1000000</x:f>
        <x:v>2.3259657716670445</x:v>
      </x:c>
      <x:c r="F10" t="n">
        <x:f>SUMIF('일별 KPI·변수'!$A$2:$A$42,$A10,'일별 KPI·변수'!$V$2:$V$42)+SUMIF('일별 KPI·변수'!$A$2:$A$42,$A10,'일별 KPI·변수'!$W$2:$W$42)</x:f>
        <x:v>8276.5561731724</x:v>
      </x:c>
      <x:c r="G10" t="n">
        <x:f>B10*(497.46725+898.13507)</x:f>
        <x:v>8373.61392</x:v>
      </x:c>
      <x:c r="H10" t="n">
        <x:f>((B10*497.46725-SUMIF('일별 KPI·변수'!$A$2:$A$42,$A10,'일별 KPI·변수'!$V$2:$V$42))*154000+(B10*898.13507-SUMIF('일별 KPI·변수'!$A$2:$A$42,$A10,'일별 KPI·변수'!$W$2:$W$42))*128000)/1000000</x:f>
        <x:v>13.327197733378474</x:v>
      </x:c>
      <x:c r="I10" t="n">
        <x:f>(SUMIF('추가 변수'!$A$2:$A$42,$A10,'추가 변수'!$B$2:$B$42)+SUMIF('추가 변수'!$A$2:$A$42,$A10,'추가 변수'!$C$2:$C$42)+SUMIF('추가 변수'!$A$2:$A$42,$A10,'추가 변수'!$D$2:$D$42)+SUMIF('추가 변수'!$A$2:$A$42,$A10,'추가 변수'!$E$2:$E$42)+SUMIF('추가 변수'!$A$2:$A$42,$A10,'추가 변수'!$F$2:$F$42)+SUMIF('추가 변수'!$A$2:$A$42,$A10,'추가 변수'!$G$2:$G$42))*10*24</x:f>
        <x:v>1964.6142396735836</x:v>
      </x:c>
      <x:c r="J10" t="n">
        <x:f>B10*36.4426*10</x:f>
        <x:v>2186.556</x:v>
      </x:c>
      <x:c r="K10" t="n">
        <x:f>(J10-I10)*M10/1000000</x:f>
        <x:v>39.94951685875496</x:v>
      </x:c>
      <x:c r="L10" t="n">
        <x:f>E10+H10+K10</x:f>
        <x:v>55.60268036380048</x:v>
      </x:c>
      <x:c r="M10" t="n">
        <x:f>N10/10</x:f>
        <x:v>180000</x:v>
      </x:c>
      <x:c r="N10" t="n">
        <x:v>1800000</x:v>
      </x:c>
    </x:row>
  </x:sheetData>
  <x:pageMargins left="0.7" right="0.7" top="0.75" bottom="0.75" header="0.3" footer="0.3"/>
</x:worksheet>
</file>