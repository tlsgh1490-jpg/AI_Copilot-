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22c806258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5142b7d067214d36"/>
    <x:sheet xmlns:r="http://schemas.openxmlformats.org/officeDocument/2006/relationships" name="일별 KPI·변수" sheetId="2" r:id="Rf782b84a8fdc4c39"/>
    <x:sheet xmlns:r="http://schemas.openxmlformats.org/officeDocument/2006/relationships" name="추가 변수" sheetId="3" r:id="R724d02a5a2db4a4f"/>
    <x:sheet xmlns:r="http://schemas.openxmlformats.org/officeDocument/2006/relationships" name="원가 영향도" sheetId="4" r:id="Rd23203428791488e"/>
    <x:sheet xmlns:r="http://schemas.openxmlformats.org/officeDocument/2006/relationships" name="원가 기준" sheetId="5" r:id="R5ee5a86e644d40ab"/>
    <x:sheet xmlns:r="http://schemas.openxmlformats.org/officeDocument/2006/relationships" name="원본·산식 설명" sheetId="6" r:id="R6f1c515fa1ae4d2f"/>
    <x:sheet xmlns:r="http://schemas.openxmlformats.org/officeDocument/2006/relationships" name="기간별 합계" sheetId="7" r:id="R9b3b544d9ab9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d1dc01e1d4c27" /><Relationship Type="http://schemas.openxmlformats.org/officeDocument/2006/relationships/theme" Target="/xl/theme/theme1.xml" Id="R98dc693d179c47e0" /><Relationship Type="http://schemas.openxmlformats.org/officeDocument/2006/relationships/sharedStrings" Target="/xl/sharedStrings.xml" Id="R984a359d75e54ea5" /><Relationship Type="http://schemas.openxmlformats.org/officeDocument/2006/relationships/worksheet" Target="/xl/worksheets/sheet1.xml" Id="R5142b7d067214d36" /><Relationship Type="http://schemas.openxmlformats.org/officeDocument/2006/relationships/worksheet" Target="/xl/worksheets/sheet2.xml" Id="Rf782b84a8fdc4c39" /><Relationship Type="http://schemas.openxmlformats.org/officeDocument/2006/relationships/worksheet" Target="/xl/worksheets/sheet3.xml" Id="R724d02a5a2db4a4f" /><Relationship Type="http://schemas.openxmlformats.org/officeDocument/2006/relationships/worksheet" Target="/xl/worksheets/sheet4.xml" Id="Rd23203428791488e" /><Relationship Type="http://schemas.openxmlformats.org/officeDocument/2006/relationships/worksheet" Target="/xl/worksheets/sheet5.xml" Id="R5ee5a86e644d40ab" /><Relationship Type="http://schemas.openxmlformats.org/officeDocument/2006/relationships/worksheet" Target="/xl/worksheets/sheet6.xml" Id="R6f1c515fa1ae4d2f" /><Relationship Type="http://schemas.openxmlformats.org/officeDocument/2006/relationships/worksheet" Target="/xl/worksheets/sheet7.xml" Id="R9b3b544d9ab9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1" t="str">
        <x:v>기간</x:v>
      </x:c>
      <x:c r="B1" s="11" t="str">
        <x:v>정제량</x:v>
      </x:c>
      <x:c r="C1" s="11" t="str">
        <x:v>A 생산량</x:v>
      </x:c>
      <x:c r="D1" s="11" t="str">
        <x:v>B 생산량</x:v>
      </x:c>
      <x:c r="E1" s="11" t="str">
        <x:v>C 생산량</x:v>
      </x:c>
      <x:c r="F1" s="11" t="str">
        <x:v>A 원단위</x:v>
      </x:c>
      <x:c r="G1" s="11" t="str">
        <x:v>B 원단위</x:v>
      </x:c>
      <x:c r="H1" s="11" t="str">
        <x:v>C 원단위</x:v>
      </x:c>
      <x:c r="I1" s="11" t="str">
        <x:v>약품 A 사용량</x:v>
      </x:c>
      <x:c r="J1" s="11" t="str">
        <x:v>약품 B 사용량</x:v>
      </x:c>
      <x:c r="K1" s="11" t="str">
        <x:v>품질함량</x:v>
      </x:c>
      <x:c r="L1" s="11" t="str">
        <x:v>스팀 M01</x:v>
      </x:c>
    </x:row>
    <x:row r="2">
      <x:c r="A2" s="11" t="str"/>
      <x:c r="B2" s="11" t="str">
        <x:v>KPI_U04_QTY_G01</x:v>
      </x:c>
      <x:c r="C2" s="11" t="str">
        <x:v>KPI_U04_OUT_P01</x:v>
      </x:c>
      <x:c r="D2" s="11" t="str">
        <x:v>KPI_U04_OUT_P02</x:v>
      </x:c>
      <x:c r="E2" s="11" t="str">
        <x:v>KPI_U04_OUT_P03</x:v>
      </x:c>
      <x:c r="F2" s="11" t="str">
        <x:v>KPI_U04_UI_P01</x:v>
      </x:c>
      <x:c r="G2" s="11" t="str">
        <x:v>KPI_U04_UI_P02</x:v>
      </x:c>
      <x:c r="H2" s="11" t="str">
        <x:v>KPI_U04_UI_P03</x:v>
      </x:c>
      <x:c r="I2" s="11" t="str">
        <x:v>KPI_U04_CHEM_M01</x:v>
      </x:c>
      <x:c r="J2" s="11" t="str">
        <x:v>KPI_U04_CHEM_M02</x:v>
      </x:c>
      <x:c r="K2" s="11" t="str">
        <x:v>KPI_U04_CONTAIN_S01</x:v>
      </x:c>
      <x:c r="L2" s="11" t="str">
        <x:v>KPI_U04_STEAM_M01</x:v>
      </x:c>
    </x:row>
    <x:row r="3">
      <x:c r="A3" t="str">
        <x:v>2024년 2월 14일 ~ 2월 22일</x:v>
      </x:c>
      <x:c r="B3" t="n">
        <x:f>SUMIF('일별 KPI·변수'!$A$2:$A$42,$A3,'일별 KPI·변수'!$O$2:$O$42)</x:f>
        <x:v>9469010.115258327</x:v>
      </x:c>
      <x:c r="C3" t="n">
        <x:f>SUMIF('일별 KPI·변수'!$A$2:$A$42,$A3,'일별 KPI·변수'!$P$2:$P$42)</x:f>
        <x:v>139374.3105613753</x:v>
      </x:c>
      <x:c r="D3" t="n">
        <x:f>SUMIF('일별 KPI·변수'!$A$2:$A$42,$A3,'일별 KPI·변수'!$Q$2:$Q$42)</x:f>
        <x:v>95491.31637102443</x:v>
      </x:c>
      <x:c r="E3" t="n">
        <x:f>SUMIF('일별 KPI·변수'!$A$2:$A$42,$A3,'일별 KPI·변수'!$R$2:$R$42)</x:f>
        <x:v>24558.473681379604</x:v>
      </x:c>
      <x:c r="F3" t="n">
        <x:f>SUMIF('일별 KPI·변수'!$A$2:$A$42,$A3,'일별 KPI·변수'!$S$2:$S$42)</x:f>
        <x:v>126569.95515750184</x:v>
      </x:c>
      <x:c r="G3" t="n">
        <x:f>SUMIF('일별 KPI·변수'!$A$2:$A$42,$A3,'일별 KPI·변수'!$T$2:$T$42)</x:f>
        <x:v>86726.31673274805</x:v>
      </x:c>
      <x:c r="H3" t="n">
        <x:f>SUMIF('일별 KPI·변수'!$A$2:$A$42,$A3,'일별 KPI·변수'!$U$2:$U$42)</x:f>
        <x:v>22304.6586229748</x:v>
      </x:c>
      <x:c r="I3" t="n">
        <x:f>SUMIF('일별 KPI·변수'!$A$2:$A$42,$A3,'일별 KPI·변수'!$V$2:$V$42)</x:f>
        <x:v>4444.323348362055</x:v>
      </x:c>
      <x:c r="J3" t="n">
        <x:f>SUMIF('일별 KPI·변수'!$A$2:$A$42,$A3,'일별 KPI·변수'!$W$2:$W$42)</x:f>
        <x:v>8031.796233910696</x:v>
      </x:c>
      <x:c r="K3" t="n">
        <x:f>SUMIF('일별 KPI·변수'!$A$2:$A$42,$A3,'일별 KPI·변수'!$Z$2:$Z$42)</x:f>
        <x:v>6.373987481475719</x:v>
      </x:c>
      <x:c r="L3" t="e">
        <x:f>SUMIF('일별 KPI·변수'!$A$2:$A$42,$A3,'일별 KPI·변수'!$undefined$2:$undefined$42)</x:f>
        <x:v>#VALUE!</x:v>
      </x:c>
    </x:row>
    <x:row r="4">
      <x:c r="A4" t="str">
        <x:v>2024년 07월 06일</x:v>
      </x:c>
      <x:c r="B4" t="n">
        <x:f>SUMIF('일별 KPI·변수'!$A$2:$A$42,$A4,'일별 KPI·변수'!$O$2:$O$42)</x:f>
        <x:v>1072479.172219319</x:v>
      </x:c>
      <x:c r="C4" t="n">
        <x:f>SUMIF('일별 KPI·변수'!$A$2:$A$42,$A4,'일별 KPI·변수'!$P$2:$P$42)</x:f>
        <x:v>18117.13769269647</x:v>
      </x:c>
      <x:c r="D4" t="n">
        <x:f>SUMIF('일별 KPI·변수'!$A$2:$A$42,$A4,'일별 KPI·변수'!$Q$2:$Q$42)</x:f>
        <x:v>12249.80400125661</x:v>
      </x:c>
      <x:c r="E4" t="n">
        <x:f>SUMIF('일별 KPI·변수'!$A$2:$A$42,$A4,'일별 KPI·변수'!$R$2:$R$42)</x:f>
        <x:v>2903.882973212682</x:v>
      </x:c>
      <x:c r="F4" t="n">
        <x:f>SUMIF('일별 KPI·변수'!$A$2:$A$42,$A4,'일별 KPI·변수'!$S$2:$S$42)</x:f>
        <x:v>16369.52887637373</x:v>
      </x:c>
      <x:c r="G4" t="n">
        <x:f>SUMIF('일별 KPI·변수'!$A$2:$A$42,$A4,'일별 KPI·변수'!$T$2:$T$42)</x:f>
        <x:v>11068.167816008</x:v>
      </x:c>
      <x:c r="H4" t="n">
        <x:f>SUMIF('일별 KPI·변수'!$A$2:$A$42,$A4,'일별 KPI·변수'!$U$2:$U$42)</x:f>
        <x:v>2623.769658867128</x:v>
      </x:c>
      <x:c r="I4" t="n">
        <x:f>SUMIF('일별 KPI·변수'!$A$2:$A$42,$A4,'일별 KPI·변수'!$V$2:$V$42)</x:f>
        <x:v>495.8000539230118</x:v>
      </x:c>
      <x:c r="J4" t="n">
        <x:f>SUMIF('일별 KPI·변수'!$A$2:$A$42,$A4,'일별 KPI·변수'!$W$2:$W$42)</x:f>
        <x:v>899.1437657998752</x:v>
      </x:c>
      <x:c r="K4" t="n">
        <x:f>SUMIF('일별 KPI·변수'!$A$2:$A$42,$A4,'일별 KPI·변수'!$Z$2:$Z$42)</x:f>
        <x:v>0.693991809021748</x:v>
      </x:c>
      <x:c r="L4" t="n">
        <x:f>SUMIF('일별 KPI·변수'!$A$2:$A$42,$A4,'일별 KPI·변수'!$undefined$2:$undefined$42)</x:f>
        <x:v>0</x:v>
      </x:c>
    </x:row>
    <x:row r="5">
      <x:c r="A5" t="str">
        <x:v>2024년 11월 18일 ~ 11월 27일</x:v>
      </x:c>
      <x:c r="B5" t="n">
        <x:f>SUMIF('일별 KPI·변수'!$A$2:$A$42,$A5,'일별 KPI·변수'!$O$2:$O$42)</x:f>
        <x:v>10503918.112831715</x:v>
      </x:c>
      <x:c r="C5" t="n">
        <x:f>SUMIF('일별 KPI·변수'!$A$2:$A$42,$A5,'일별 KPI·변수'!$P$2:$P$42)</x:f>
        <x:v>176201.86064032576</x:v>
      </x:c>
      <x:c r="D5" t="n">
        <x:f>SUMIF('일별 KPI·변수'!$A$2:$A$42,$A5,'일별 KPI·변수'!$Q$2:$Q$42)</x:f>
        <x:v>121877.55080791905</x:v>
      </x:c>
      <x:c r="E5" t="n">
        <x:f>SUMIF('일별 KPI·변수'!$A$2:$A$42,$A5,'일별 KPI·변수'!$R$2:$R$42)</x:f>
        <x:v>28771.894362198072</x:v>
      </x:c>
      <x:c r="F5" t="n">
        <x:f>SUMIF('일별 KPI·변수'!$A$2:$A$42,$A5,'일별 KPI·변수'!$S$2:$S$42)</x:f>
        <x:v>157835.39938171554</x:v>
      </x:c>
      <x:c r="G5" t="n">
        <x:f>SUMIF('일별 KPI·변수'!$A$2:$A$42,$A5,'일별 KPI·변수'!$T$2:$T$42)</x:f>
        <x:v>109171.09589337444</x:v>
      </x:c>
      <x:c r="H5" t="n">
        <x:f>SUMIF('일별 KPI·변수'!$A$2:$A$42,$A5,'일별 KPI·변수'!$U$2:$U$42)</x:f>
        <x:v>25768.50578658104</x:v>
      </x:c>
      <x:c r="I5" t="n">
        <x:f>SUMIF('일별 KPI·변수'!$A$2:$A$42,$A5,'일별 KPI·변수'!$V$2:$V$42)</x:f>
        <x:v>4931.692782564294</x:v>
      </x:c>
      <x:c r="J5" t="n">
        <x:f>SUMIF('일별 KPI·변수'!$A$2:$A$42,$A5,'일별 KPI·변수'!$W$2:$W$42)</x:f>
        <x:v>8869.521056355174</x:v>
      </x:c>
      <x:c r="K5" t="n">
        <x:f>SUMIF('일별 KPI·변수'!$A$2:$A$42,$A5,'일별 KPI·변수'!$Z$2:$Z$42)</x:f>
        <x:v>7.163614744384297</x:v>
      </x:c>
      <x:c r="L5" t="n">
        <x:f>SUMIF('일별 KPI·변수'!$A$2:$A$42,$A5,'일별 KPI·변수'!$undefined$2:$undefined$42)</x:f>
        <x:v>0</x:v>
      </x:c>
    </x:row>
    <x:row r="6">
      <x:c r="A6" t="str">
        <x:v>2025년 4월 3일 ~ 4월 9일</x:v>
      </x:c>
      <x:c r="B6" t="n">
        <x:f>SUMIF('일별 KPI·변수'!$A$2:$A$42,$A6,'일별 KPI·변수'!$O$2:$O$42)</x:f>
        <x:v>7221185.21245608</x:v>
      </x:c>
      <x:c r="C6" t="n">
        <x:f>SUMIF('일별 KPI·변수'!$A$2:$A$42,$A6,'일별 KPI·변수'!$P$2:$P$42)</x:f>
        <x:v>122210.54771312536</x:v>
      </x:c>
      <x:c r="D6" t="n">
        <x:f>SUMIF('일별 KPI·변수'!$A$2:$A$42,$A6,'일별 KPI·변수'!$Q$2:$Q$42)</x:f>
        <x:v>83974.01219951498</x:v>
      </x:c>
      <x:c r="E6" t="n">
        <x:f>SUMIF('일별 KPI·변수'!$A$2:$A$42,$A6,'일별 KPI·변수'!$R$2:$R$42)</x:f>
        <x:v>19423.5456281067</x:v>
      </x:c>
      <x:c r="F6" t="n">
        <x:f>SUMIF('일별 KPI·변수'!$A$2:$A$42,$A6,'일별 KPI·변수'!$S$2:$S$42)</x:f>
        <x:v>110374.59462061776</x:v>
      </x:c>
      <x:c r="G6" t="n">
        <x:f>SUMIF('일별 KPI·변수'!$A$2:$A$42,$A6,'일별 KPI·변수'!$T$2:$T$42)</x:f>
        <x:v>75849.28061465725</x:v>
      </x:c>
      <x:c r="H6" t="n">
        <x:f>SUMIF('일별 KPI·변수'!$A$2:$A$42,$A6,'일별 KPI·변수'!$U$2:$U$42)</x:f>
        <x:v>17543.435250776078</x:v>
      </x:c>
      <x:c r="I6" t="n">
        <x:f>SUMIF('일별 KPI·변수'!$A$2:$A$42,$A6,'일별 KPI·변수'!$V$2:$V$42)</x:f>
        <x:v>3360.2734843515955</x:v>
      </x:c>
      <x:c r="J6" t="n">
        <x:f>SUMIF('일별 KPI·변수'!$A$2:$A$42,$A6,'일별 KPI·변수'!$W$2:$W$42)</x:f>
        <x:v>6214.171243043026</x:v>
      </x:c>
      <x:c r="K6" t="n">
        <x:f>SUMIF('일별 KPI·변수'!$A$2:$A$42,$A6,'일별 KPI·변수'!$Z$2:$Z$42)</x:f>
        <x:v>4.965775329922714</x:v>
      </x:c>
      <x:c r="L6" t="n">
        <x:f>SUMIF('일별 KPI·변수'!$A$2:$A$42,$A6,'일별 KPI·변수'!$undefined$2:$undefined$42)</x:f>
        <x:v>0</x:v>
      </x:c>
    </x:row>
    <x:row r="7">
      <x:c r="A7" t="str">
        <x:v>2025년 09월 21일</x:v>
      </x:c>
      <x:c r="B7" t="n">
        <x:f>SUMIF('일별 KPI·변수'!$A$2:$A$42,$A7,'일별 KPI·변수'!$O$2:$O$42)</x:f>
        <x:v>1063514.977588905</x:v>
      </x:c>
      <x:c r="C7" t="n">
        <x:f>SUMIF('일별 KPI·변수'!$A$2:$A$42,$A7,'일별 KPI·변수'!$P$2:$P$42)</x:f>
        <x:v>17660.2959031314</x:v>
      </x:c>
      <x:c r="D7" t="n">
        <x:f>SUMIF('일별 KPI·변수'!$A$2:$A$42,$A7,'일별 KPI·변수'!$Q$2:$Q$42)</x:f>
        <x:v>11806.06696754293</x:v>
      </x:c>
      <x:c r="E7" t="n">
        <x:f>SUMIF('일별 KPI·변수'!$A$2:$A$42,$A7,'일별 KPI·변수'!$R$2:$R$42)</x:f>
        <x:v>2693.23220539673</x:v>
      </x:c>
      <x:c r="F7" t="n">
        <x:f>SUMIF('일별 KPI·변수'!$A$2:$A$42,$A7,'일별 KPI·변수'!$S$2:$S$42)</x:f>
        <x:v>15820.87987142267</x:v>
      </x:c>
      <x:c r="G7" t="n">
        <x:f>SUMIF('일별 KPI·변수'!$A$2:$A$42,$A7,'일별 KPI·변수'!$T$2:$T$42)</x:f>
        <x:v>10576.40077334995</x:v>
      </x:c>
      <x:c r="H7" t="n">
        <x:f>SUMIF('일별 KPI·변수'!$A$2:$A$42,$A7,'일별 KPI·변수'!$U$2:$U$42)</x:f>
        <x:v>2412.717398459514</x:v>
      </x:c>
      <x:c r="I7" t="n">
        <x:f>SUMIF('일별 KPI·변수'!$A$2:$A$42,$A7,'일별 KPI·변수'!$V$2:$V$42)</x:f>
        <x:v>495.3332499016522</x:v>
      </x:c>
      <x:c r="J7" t="n">
        <x:f>SUMIF('일별 KPI·변수'!$A$2:$A$42,$A7,'일별 KPI·변수'!$W$2:$W$42)</x:f>
        <x:v>899.8813490695666</x:v>
      </x:c>
      <x:c r="K7" t="n">
        <x:f>SUMIF('일별 KPI·변수'!$A$2:$A$42,$A7,'일별 KPI·변수'!$Z$2:$Z$42)</x:f>
        <x:v>0.76115327971408</x:v>
      </x:c>
      <x:c r="L7" t="n">
        <x:f>SUMIF('일별 KPI·변수'!$A$2:$A$42,$A7,'일별 KPI·변수'!$undefined$2:$undefined$42)</x:f>
        <x:v>0</x:v>
      </x:c>
    </x:row>
    <x:row r="8">
      <x:c r="A8" t="str">
        <x:v>2025.06.15</x:v>
      </x:c>
      <x:c r="B8" t="n">
        <x:f>SUMIF('일별 KPI·변수'!$A$2:$A$42,$A8,'일별 KPI·변수'!$O$2:$O$42)</x:f>
        <x:v>1036761.533737434</x:v>
      </x:c>
      <x:c r="C8" t="n">
        <x:f>SUMIF('일별 KPI·변수'!$A$2:$A$42,$A8,'일별 KPI·변수'!$P$2:$P$42)</x:f>
        <x:v>17243.26144028521</x:v>
      </x:c>
      <x:c r="D8" t="n">
        <x:f>SUMIF('일별 KPI·변수'!$A$2:$A$42,$A8,'일별 KPI·변수'!$Q$2:$Q$42)</x:f>
        <x:v>12438.62528188875</x:v>
      </x:c>
      <x:c r="E8" t="n">
        <x:f>SUMIF('일별 KPI·변수'!$A$2:$A$42,$A8,'일별 KPI·변수'!$R$2:$R$42)</x:f>
        <x:v>2790.864656176189</x:v>
      </x:c>
      <x:c r="F8" t="n">
        <x:f>SUMIF('일별 KPI·변수'!$A$2:$A$42,$A8,'일별 KPI·변수'!$S$2:$S$42)</x:f>
        <x:v>15543.37508230279</x:v>
      </x:c>
      <x:c r="G8" t="n">
        <x:f>SUMIF('일별 KPI·변수'!$A$2:$A$42,$A8,'일별 KPI·변수'!$T$2:$T$42)</x:f>
        <x:v>11212.39267490995</x:v>
      </x:c>
      <x:c r="H8" t="n">
        <x:f>SUMIF('일별 KPI·변수'!$A$2:$A$42,$A8,'일별 KPI·변수'!$U$2:$U$42)</x:f>
        <x:v>2515.733830581589</x:v>
      </x:c>
      <x:c r="I8" t="n">
        <x:f>SUMIF('일별 KPI·변수'!$A$2:$A$42,$A8,'일별 KPI·변수'!$V$2:$V$42)</x:f>
        <x:v>496.8012175073888</x:v>
      </x:c>
      <x:c r="J8" t="n">
        <x:f>SUMIF('일별 KPI·변수'!$A$2:$A$42,$A8,'일별 KPI·변수'!$W$2:$W$42)</x:f>
        <x:v>897.0276865630493</x:v>
      </x:c>
      <x:c r="K8" t="n">
        <x:f>SUMIF('일별 KPI·변수'!$A$2:$A$42,$A8,'일별 KPI·변수'!$Z$2:$Z$42)</x:f>
        <x:v>0.7404069787570894</x:v>
      </x:c>
      <x:c r="L8" t="n">
        <x:f>SUMIF('일별 KPI·변수'!$A$2:$A$42,$A8,'일별 KPI·변수'!$undefined$2:$undefined$42)</x:f>
        <x:v>0</x:v>
      </x:c>
    </x:row>
    <x:row r="9">
      <x:c r="A9" t="str">
        <x:v>2025.02.11</x:v>
      </x:c>
      <x:c r="B9" t="n">
        <x:f>SUMIF('일별 KPI·변수'!$A$2:$A$42,$A9,'일별 KPI·변수'!$O$2:$O$42)</x:f>
        <x:v>1028965.497344934</x:v>
      </x:c>
      <x:c r="C9" t="n">
        <x:f>SUMIF('일별 KPI·변수'!$A$2:$A$42,$A9,'일별 KPI·변수'!$P$2:$P$42)</x:f>
        <x:v>18463.89905773315</x:v>
      </x:c>
      <x:c r="D9" t="n">
        <x:f>SUMIF('일별 KPI·변수'!$A$2:$A$42,$A9,'일별 KPI·변수'!$Q$2:$Q$42)</x:f>
        <x:v>12584.72129021882</x:v>
      </x:c>
      <x:c r="E9" t="n">
        <x:f>SUMIF('일별 KPI·변수'!$A$2:$A$42,$A9,'일별 KPI·변수'!$R$2:$R$42)</x:f>
        <x:v>2986.908770455123</x:v>
      </x:c>
      <x:c r="F9" t="n">
        <x:f>SUMIF('일별 KPI·변수'!$A$2:$A$42,$A9,'일별 KPI·변수'!$S$2:$S$42)</x:f>
        <x:v>16739.51708839088</x:v>
      </x:c>
      <x:c r="G9" t="n">
        <x:f>SUMIF('일별 KPI·변수'!$A$2:$A$42,$A9,'일별 KPI·변수'!$T$2:$T$42)</x:f>
        <x:v>11409.40797128241</x:v>
      </x:c>
      <x:c r="H9" t="n">
        <x:f>SUMIF('일별 KPI·변수'!$A$2:$A$42,$A9,'일별 KPI·변수'!$U$2:$U$42)</x:f>
        <x:v>2707.955142527552</x:v>
      </x:c>
      <x:c r="I9" t="n">
        <x:f>SUMIF('일별 KPI·변수'!$A$2:$A$42,$A9,'일별 KPI·변수'!$V$2:$V$42)</x:f>
        <x:v>491.0741452597044</x:v>
      </x:c>
      <x:c r="J9" t="n">
        <x:f>SUMIF('일별 KPI·변수'!$A$2:$A$42,$A9,'일별 KPI·변수'!$W$2:$W$42)</x:f>
        <x:v>877.9296965434368</x:v>
      </x:c>
      <x:c r="K9" t="n">
        <x:f>SUMIF('일별 KPI·변수'!$A$2:$A$42,$A9,'일별 KPI·변수'!$Z$2:$Z$42)</x:f>
        <x:v>0.6984803349245973</x:v>
      </x:c>
      <x:c r="L9" t="n">
        <x:f>SUMIF('일별 KPI·변수'!$A$2:$A$42,$A9,'일별 KPI·변수'!$undefined$2:$undefined$42)</x:f>
        <x:v>0</x:v>
      </x:c>
    </x:row>
    <x:row r="10">
      <x:c r="A10" t="str">
        <x:v>2024.10.11 ~ 10.15</x:v>
      </x:c>
      <x:c r="B10" t="n">
        <x:f>SUMIF('일별 KPI·변수'!$A$2:$A$42,$A10,'일별 KPI·변수'!$O$2:$O$42)</x:f>
        <x:v>5257984.105167334</x:v>
      </x:c>
      <x:c r="C10" t="n">
        <x:f>SUMIF('일별 KPI·변수'!$A$2:$A$42,$A10,'일별 KPI·변수'!$P$2:$P$42)</x:f>
        <x:v>86153.66175430987</x:v>
      </x:c>
      <x:c r="D10" t="n">
        <x:f>SUMIF('일별 KPI·변수'!$A$2:$A$42,$A10,'일별 KPI·변수'!$Q$2:$Q$42)</x:f>
        <x:v>58555.69994112565</x:v>
      </x:c>
      <x:c r="E10" t="n">
        <x:f>SUMIF('일별 KPI·변수'!$A$2:$A$42,$A10,'일별 KPI·변수'!$R$2:$R$42)</x:f>
        <x:v>13908.71147239045</x:v>
      </x:c>
      <x:c r="F10" t="n">
        <x:f>SUMIF('일별 KPI·변수'!$A$2:$A$42,$A10,'일별 KPI·변수'!$S$2:$S$42)</x:f>
        <x:v>77651.91115008309</x:v>
      </x:c>
      <x:c r="G10" t="n">
        <x:f>SUMIF('일별 KPI·변수'!$A$2:$A$42,$A10,'일별 KPI·변수'!$T$2:$T$42)</x:f>
        <x:v>52794.75023902849</x:v>
      </x:c>
      <x:c r="H10" t="n">
        <x:f>SUMIF('일별 KPI·변수'!$A$2:$A$42,$A10,'일별 KPI·변수'!$U$2:$U$42)</x:f>
        <x:v>12538.202884927774</x:v>
      </x:c>
      <x:c r="I10" t="n">
        <x:f>SUMIF('일별 KPI·변수'!$A$2:$A$42,$A10,'일별 KPI·변수'!$V$2:$V$42)</x:f>
        <x:v>2470.9908173037384</x:v>
      </x:c>
      <x:c r="J10" t="n">
        <x:f>SUMIF('일별 KPI·변수'!$A$2:$A$42,$A10,'일별 KPI·변수'!$W$2:$W$42)</x:f>
        <x:v>4444.679063403875</x:v>
      </x:c>
      <x:c r="K10" t="n">
        <x:f>SUMIF('일별 KPI·변수'!$A$2:$A$42,$A10,'일별 KPI·변수'!$Z$2:$Z$42)</x:f>
        <x:v>3.9811514252152156</x:v>
      </x:c>
      <x:c r="L10" t="n">
        <x:f>SUMIF('일별 KPI·변수'!$A$2:$A$42,$A10,'일별 KPI·변수'!$undefined$2:$undefined$42)</x:f>
        <x:v>0</x:v>
      </x:c>
    </x:row>
    <x:row r="11">
      <x:c r="A11" t="str">
        <x:v>2025.09.11 ~ 09.16</x:v>
      </x:c>
      <x:c r="B11" t="n">
        <x:f>SUMIF('일별 KPI·변수'!$A$2:$A$42,$A11,'일별 KPI·변수'!$O$2:$O$42)</x:f>
        <x:v>6280384.836729634</x:v>
      </x:c>
      <x:c r="C11" t="n">
        <x:f>SUMIF('일별 KPI·변수'!$A$2:$A$42,$A11,'일별 KPI·변수'!$P$2:$P$42)</x:f>
        <x:v>105329.76112852205</x:v>
      </x:c>
      <x:c r="D11" t="n">
        <x:f>SUMIF('일별 KPI·변수'!$A$2:$A$42,$A11,'일별 KPI·변수'!$Q$2:$Q$42)</x:f>
        <x:v>71661.81920404128</x:v>
      </x:c>
      <x:c r="E11" t="n">
        <x:f>SUMIF('일별 KPI·변수'!$A$2:$A$42,$A11,'일별 KPI·변수'!$R$2:$R$42)</x:f>
        <x:v>17364.1993395683</x:v>
      </x:c>
      <x:c r="F11" t="n">
        <x:f>SUMIF('일별 KPI·변수'!$A$2:$A$42,$A11,'일별 KPI·변수'!$S$2:$S$42)</x:f>
        <x:v>94354.69088830423</x:v>
      </x:c>
      <x:c r="G11" t="n">
        <x:f>SUMIF('일별 KPI·변수'!$A$2:$A$42,$A11,'일별 KPI·변수'!$T$2:$T$42)</x:f>
        <x:v>64201.96677171326</x:v>
      </x:c>
      <x:c r="H11" t="n">
        <x:f>SUMIF('일별 KPI·변수'!$A$2:$A$42,$A11,'일별 KPI·변수'!$U$2:$U$42)</x:f>
        <x:v>15553.923412300206</x:v>
      </x:c>
      <x:c r="I11" t="n">
        <x:f>SUMIF('일별 KPI·변수'!$A$2:$A$42,$A11,'일별 KPI·변수'!$V$2:$V$42)</x:f>
        <x:v>2950.041725405936</x:v>
      </x:c>
      <x:c r="J11" t="n">
        <x:f>SUMIF('일별 KPI·변수'!$A$2:$A$42,$A11,'일별 KPI·변수'!$W$2:$W$42)</x:f>
        <x:v>5326.5144477664635</x:v>
      </x:c>
      <x:c r="K11" t="n">
        <x:f>SUMIF('일별 KPI·변수'!$A$2:$A$42,$A11,'일별 KPI·변수'!$Z$2:$Z$42)</x:f>
        <x:v>4.814171601376742</x:v>
      </x:c>
      <x:c r="L11" t="n">
        <x:f>SUMIF('일별 KPI·변수'!$A$2:$A$42,$A11,'일별 KPI·변수'!$undefined$2:$undefined$42)</x:f>
        <x:v>0</x:v>
      </x:c>
    </x:row>
  </x:sheetData>
  <x:pageMargins left="0.7" right="0.7" top="0.75" bottom="0.75" header="0.3" footer="0.3"/>
</x:worksheet>
</file>