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OSCOFUTUREM\Documents\AI 교육 과제\엑셀 양식\"/>
    </mc:Choice>
  </mc:AlternateContent>
  <xr:revisionPtr revIDLastSave="0" documentId="13_ncr:1_{AD188814-4FB1-4A88-A9CD-562D3BD94251}" xr6:coauthVersionLast="47" xr6:coauthVersionMax="47" xr10:uidLastSave="{00000000-0000-0000-0000-000000000000}"/>
  <bookViews>
    <workbookView xWindow="-108" yWindow="-108" windowWidth="23256" windowHeight="12456" tabRatio="885" xr2:uid="{00000000-000D-0000-FFFF-FFFF00000000}"/>
  </bookViews>
  <sheets>
    <sheet name="변수 및 공정명" sheetId="14" r:id="rId1"/>
    <sheet name="KPI_목록" sheetId="2" r:id="rId2"/>
    <sheet name="변수_목록" sheetId="3" r:id="rId3"/>
    <sheet name="변수통계" sheetId="12" r:id="rId4"/>
    <sheet name="관계분석" sheetId="13" r:id="rId5"/>
    <sheet name="이상시나리오" sheetId="5" r:id="rId6"/>
  </sheets>
  <externalReferences>
    <externalReference r:id="rId7"/>
  </externalReferences>
  <definedNames>
    <definedName name="_xlnm._FilterDatabase" localSheetId="4" hidden="1">관계분석!$A$4:$I$204</definedName>
    <definedName name="_xlnm._FilterDatabase" localSheetId="3" hidden="1">변수통계!$A$4:$I$94</definedName>
    <definedName name="VariableHeaders">[1]Raw_Data!$B$1:$CM$1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1" i="14" l="1"/>
  <c r="E12" i="14"/>
  <c r="D204" i="13" l="1"/>
  <c r="F204" i="13" s="1"/>
  <c r="D203" i="13"/>
  <c r="F203" i="13" s="1"/>
  <c r="D202" i="13"/>
  <c r="F202" i="13" s="1"/>
  <c r="D201" i="13"/>
  <c r="D200" i="13"/>
  <c r="E200" i="13" s="1"/>
  <c r="D199" i="13"/>
  <c r="F199" i="13" s="1"/>
  <c r="D198" i="13"/>
  <c r="F198" i="13" s="1"/>
  <c r="D197" i="13"/>
  <c r="F197" i="13" s="1"/>
  <c r="D196" i="13"/>
  <c r="D195" i="13"/>
  <c r="E195" i="13" s="1"/>
  <c r="D194" i="13"/>
  <c r="F194" i="13" s="1"/>
  <c r="D193" i="13"/>
  <c r="F193" i="13" s="1"/>
  <c r="D192" i="13"/>
  <c r="F192" i="13" s="1"/>
  <c r="D191" i="13"/>
  <c r="F191" i="13" s="1"/>
  <c r="D190" i="13"/>
  <c r="F190" i="13" s="1"/>
  <c r="D189" i="13"/>
  <c r="F189" i="13" s="1"/>
  <c r="D188" i="13"/>
  <c r="F188" i="13" s="1"/>
  <c r="D187" i="13"/>
  <c r="D186" i="13"/>
  <c r="F186" i="13" s="1"/>
  <c r="D185" i="13"/>
  <c r="F185" i="13" s="1"/>
  <c r="D184" i="13"/>
  <c r="F184" i="13" s="1"/>
  <c r="D183" i="13"/>
  <c r="F183" i="13" s="1"/>
  <c r="D182" i="13"/>
  <c r="F182" i="13" s="1"/>
  <c r="D181" i="13"/>
  <c r="E181" i="13" s="1"/>
  <c r="D180" i="13"/>
  <c r="F180" i="13" s="1"/>
  <c r="D179" i="13"/>
  <c r="F179" i="13" s="1"/>
  <c r="D178" i="13"/>
  <c r="F178" i="13" s="1"/>
  <c r="D177" i="13"/>
  <c r="E177" i="13" s="1"/>
  <c r="D176" i="13"/>
  <c r="F176" i="13" s="1"/>
  <c r="D175" i="13"/>
  <c r="F175" i="13" s="1"/>
  <c r="D174" i="13"/>
  <c r="F174" i="13" s="1"/>
  <c r="D173" i="13"/>
  <c r="D172" i="13"/>
  <c r="F172" i="13" s="1"/>
  <c r="D171" i="13"/>
  <c r="F171" i="13" s="1"/>
  <c r="D170" i="13"/>
  <c r="F170" i="13" s="1"/>
  <c r="D169" i="13"/>
  <c r="F169" i="13" s="1"/>
  <c r="D168" i="13"/>
  <c r="F168" i="13" s="1"/>
  <c r="D167" i="13"/>
  <c r="E167" i="13" s="1"/>
  <c r="D166" i="13"/>
  <c r="F166" i="13" s="1"/>
  <c r="D165" i="13"/>
  <c r="F165" i="13" s="1"/>
  <c r="D164" i="13"/>
  <c r="F164" i="13" s="1"/>
  <c r="D163" i="13"/>
  <c r="F163" i="13" s="1"/>
  <c r="D162" i="13"/>
  <c r="F162" i="13" s="1"/>
  <c r="D161" i="13"/>
  <c r="F161" i="13" s="1"/>
  <c r="D160" i="13"/>
  <c r="F160" i="13" s="1"/>
  <c r="D159" i="13"/>
  <c r="D158" i="13"/>
  <c r="F158" i="13" s="1"/>
  <c r="D157" i="13"/>
  <c r="F157" i="13" s="1"/>
  <c r="D156" i="13"/>
  <c r="F156" i="13" s="1"/>
  <c r="D155" i="13"/>
  <c r="F155" i="13" s="1"/>
  <c r="D154" i="13"/>
  <c r="F154" i="13" s="1"/>
  <c r="D153" i="13"/>
  <c r="E153" i="13" s="1"/>
  <c r="D152" i="13"/>
  <c r="F152" i="13" s="1"/>
  <c r="D151" i="13"/>
  <c r="F151" i="13" s="1"/>
  <c r="D150" i="13"/>
  <c r="F150" i="13" s="1"/>
  <c r="D149" i="13"/>
  <c r="F149" i="13" s="1"/>
  <c r="D148" i="13"/>
  <c r="F148" i="13" s="1"/>
  <c r="D147" i="13"/>
  <c r="F147" i="13" s="1"/>
  <c r="D146" i="13"/>
  <c r="F146" i="13" s="1"/>
  <c r="D145" i="13"/>
  <c r="D144" i="13"/>
  <c r="F144" i="13" s="1"/>
  <c r="D143" i="13"/>
  <c r="F143" i="13" s="1"/>
  <c r="D142" i="13"/>
  <c r="F142" i="13" s="1"/>
  <c r="D141" i="13"/>
  <c r="F141" i="13" s="1"/>
  <c r="D140" i="13"/>
  <c r="F140" i="13" s="1"/>
  <c r="D139" i="13"/>
  <c r="E139" i="13" s="1"/>
  <c r="D138" i="13"/>
  <c r="F138" i="13" s="1"/>
  <c r="D137" i="13"/>
  <c r="F137" i="13" s="1"/>
  <c r="D136" i="13"/>
  <c r="F136" i="13" s="1"/>
  <c r="D135" i="13"/>
  <c r="F135" i="13" s="1"/>
  <c r="D134" i="13"/>
  <c r="F134" i="13" s="1"/>
  <c r="D133" i="13"/>
  <c r="F133" i="13" s="1"/>
  <c r="D132" i="13"/>
  <c r="F132" i="13" s="1"/>
  <c r="D131" i="13"/>
  <c r="D130" i="13"/>
  <c r="F130" i="13" s="1"/>
  <c r="D129" i="13"/>
  <c r="F129" i="13" s="1"/>
  <c r="D128" i="13"/>
  <c r="F128" i="13" s="1"/>
  <c r="D127" i="13"/>
  <c r="F127" i="13" s="1"/>
  <c r="D126" i="13"/>
  <c r="F126" i="13" s="1"/>
  <c r="D125" i="13"/>
  <c r="F125" i="13" s="1"/>
  <c r="D124" i="13"/>
  <c r="F124" i="13" s="1"/>
  <c r="D123" i="13"/>
  <c r="F123" i="13" s="1"/>
  <c r="D122" i="13"/>
  <c r="F122" i="13" s="1"/>
  <c r="D121" i="13"/>
  <c r="F121" i="13" s="1"/>
  <c r="D120" i="13"/>
  <c r="E120" i="13" s="1"/>
  <c r="D119" i="13"/>
  <c r="F119" i="13" s="1"/>
  <c r="D118" i="13"/>
  <c r="F118" i="13" s="1"/>
  <c r="D117" i="13"/>
  <c r="D116" i="13"/>
  <c r="E116" i="13" s="1"/>
  <c r="D115" i="13"/>
  <c r="F115" i="13" s="1"/>
  <c r="D114" i="13"/>
  <c r="F114" i="13" s="1"/>
  <c r="D113" i="13"/>
  <c r="E113" i="13" s="1"/>
  <c r="D112" i="13"/>
  <c r="F112" i="13" s="1"/>
  <c r="D111" i="13"/>
  <c r="E111" i="13" s="1"/>
  <c r="D110" i="13"/>
  <c r="F110" i="13" s="1"/>
  <c r="D109" i="13"/>
  <c r="F109" i="13" s="1"/>
  <c r="D108" i="13"/>
  <c r="F108" i="13" s="1"/>
  <c r="D107" i="13"/>
  <c r="F107" i="13" s="1"/>
  <c r="D106" i="13"/>
  <c r="E106" i="13" s="1"/>
  <c r="D105" i="13"/>
  <c r="F105" i="13" s="1"/>
  <c r="D104" i="13"/>
  <c r="F104" i="13" s="1"/>
  <c r="D103" i="13"/>
  <c r="D102" i="13"/>
  <c r="E102" i="13" s="1"/>
  <c r="D101" i="13"/>
  <c r="F101" i="13" s="1"/>
  <c r="D100" i="13"/>
  <c r="F100" i="13" s="1"/>
  <c r="D99" i="13"/>
  <c r="F99" i="13" s="1"/>
  <c r="D98" i="13"/>
  <c r="F98" i="13" s="1"/>
  <c r="D97" i="13"/>
  <c r="F97" i="13" s="1"/>
  <c r="D96" i="13"/>
  <c r="F96" i="13" s="1"/>
  <c r="D95" i="13"/>
  <c r="F95" i="13" s="1"/>
  <c r="D94" i="13"/>
  <c r="F94" i="13" s="1"/>
  <c r="D93" i="13"/>
  <c r="F93" i="13" s="1"/>
  <c r="D92" i="13"/>
  <c r="F92" i="13" s="1"/>
  <c r="D91" i="13"/>
  <c r="F91" i="13" s="1"/>
  <c r="D90" i="13"/>
  <c r="F90" i="13" s="1"/>
  <c r="D89" i="13"/>
  <c r="D88" i="13"/>
  <c r="F88" i="13" s="1"/>
  <c r="D87" i="13"/>
  <c r="E87" i="13" s="1"/>
  <c r="D86" i="13"/>
  <c r="F86" i="13" s="1"/>
  <c r="D85" i="13"/>
  <c r="F85" i="13" s="1"/>
  <c r="D84" i="13"/>
  <c r="F84" i="13" s="1"/>
  <c r="D83" i="13"/>
  <c r="E83" i="13" s="1"/>
  <c r="D82" i="13"/>
  <c r="F82" i="13" s="1"/>
  <c r="D81" i="13"/>
  <c r="F81" i="13" s="1"/>
  <c r="D80" i="13"/>
  <c r="F80" i="13" s="1"/>
  <c r="D79" i="13"/>
  <c r="F79" i="13" s="1"/>
  <c r="D78" i="13"/>
  <c r="F78" i="13" s="1"/>
  <c r="D77" i="13"/>
  <c r="F77" i="13" s="1"/>
  <c r="D76" i="13"/>
  <c r="F76" i="13" s="1"/>
  <c r="D75" i="13"/>
  <c r="D74" i="13"/>
  <c r="E74" i="13" s="1"/>
  <c r="D73" i="13"/>
  <c r="E73" i="13" s="1"/>
  <c r="D72" i="13"/>
  <c r="F72" i="13" s="1"/>
  <c r="D71" i="13"/>
  <c r="F71" i="13" s="1"/>
  <c r="D70" i="13"/>
  <c r="F70" i="13" s="1"/>
  <c r="D69" i="13"/>
  <c r="E69" i="13" s="1"/>
  <c r="D68" i="13"/>
  <c r="F68" i="13" s="1"/>
  <c r="D67" i="13"/>
  <c r="F67" i="13" s="1"/>
  <c r="D66" i="13"/>
  <c r="F66" i="13" s="1"/>
  <c r="D65" i="13"/>
  <c r="F65" i="13" s="1"/>
  <c r="D64" i="13"/>
  <c r="F64" i="13" s="1"/>
  <c r="D63" i="13"/>
  <c r="F63" i="13" s="1"/>
  <c r="D62" i="13"/>
  <c r="F62" i="13" s="1"/>
  <c r="D61" i="13"/>
  <c r="D60" i="13"/>
  <c r="F60" i="13" s="1"/>
  <c r="D59" i="13"/>
  <c r="E59" i="13" s="1"/>
  <c r="D58" i="13"/>
  <c r="F58" i="13" s="1"/>
  <c r="D57" i="13"/>
  <c r="F57" i="13" s="1"/>
  <c r="D56" i="13"/>
  <c r="F56" i="13" s="1"/>
  <c r="D55" i="13"/>
  <c r="E55" i="13" s="1"/>
  <c r="D54" i="13"/>
  <c r="F54" i="13" s="1"/>
  <c r="D53" i="13"/>
  <c r="F53" i="13" s="1"/>
  <c r="D52" i="13"/>
  <c r="F52" i="13" s="1"/>
  <c r="D51" i="13"/>
  <c r="F51" i="13" s="1"/>
  <c r="D50" i="13"/>
  <c r="E50" i="13" s="1"/>
  <c r="D49" i="13"/>
  <c r="F49" i="13" s="1"/>
  <c r="D48" i="13"/>
  <c r="F48" i="13" s="1"/>
  <c r="D47" i="13"/>
  <c r="D46" i="13"/>
  <c r="E46" i="13" s="1"/>
  <c r="D45" i="13"/>
  <c r="F45" i="13" s="1"/>
  <c r="D44" i="13"/>
  <c r="E44" i="13" s="1"/>
  <c r="D43" i="13"/>
  <c r="F43" i="13" s="1"/>
  <c r="D42" i="13"/>
  <c r="F42" i="13" s="1"/>
  <c r="D41" i="13"/>
  <c r="E41" i="13" s="1"/>
  <c r="D40" i="13"/>
  <c r="F40" i="13" s="1"/>
  <c r="D39" i="13"/>
  <c r="F39" i="13" s="1"/>
  <c r="D38" i="13"/>
  <c r="F38" i="13" s="1"/>
  <c r="D37" i="13"/>
  <c r="F37" i="13" s="1"/>
  <c r="F34" i="12"/>
  <c r="H33" i="12"/>
  <c r="F32" i="12"/>
  <c r="F21" i="12"/>
  <c r="F7" i="12"/>
  <c r="E14" i="12" l="1"/>
  <c r="F14" i="12" s="1"/>
  <c r="H18" i="12"/>
  <c r="H16" i="12"/>
  <c r="H9" i="12"/>
  <c r="D10" i="12"/>
  <c r="H10" i="12"/>
  <c r="H24" i="12"/>
  <c r="F102" i="13"/>
  <c r="C20" i="12"/>
  <c r="E99" i="13"/>
  <c r="E63" i="13"/>
  <c r="F200" i="13"/>
  <c r="F116" i="13"/>
  <c r="F41" i="13"/>
  <c r="E168" i="13"/>
  <c r="D5" i="12"/>
  <c r="E158" i="13"/>
  <c r="E119" i="13"/>
  <c r="F6" i="12"/>
  <c r="F120" i="13"/>
  <c r="C32" i="12"/>
  <c r="E174" i="13"/>
  <c r="H32" i="12"/>
  <c r="E88" i="13"/>
  <c r="F113" i="13"/>
  <c r="F50" i="13"/>
  <c r="B14" i="12"/>
  <c r="D14" i="12" s="1"/>
  <c r="C21" i="12"/>
  <c r="F46" i="13"/>
  <c r="E104" i="13"/>
  <c r="C7" i="12"/>
  <c r="F83" i="13"/>
  <c r="E125" i="13"/>
  <c r="E172" i="13"/>
  <c r="H7" i="12"/>
  <c r="H21" i="12"/>
  <c r="E56" i="13"/>
  <c r="E186" i="13"/>
  <c r="D24" i="12"/>
  <c r="F74" i="13"/>
  <c r="F139" i="13"/>
  <c r="F10" i="12"/>
  <c r="F24" i="12"/>
  <c r="F111" i="13"/>
  <c r="E130" i="13"/>
  <c r="E155" i="13"/>
  <c r="F20" i="12"/>
  <c r="C6" i="12"/>
  <c r="H20" i="12"/>
  <c r="C34" i="12"/>
  <c r="F55" i="13"/>
  <c r="E62" i="13"/>
  <c r="E71" i="13"/>
  <c r="E78" i="13"/>
  <c r="F87" i="13"/>
  <c r="E146" i="13"/>
  <c r="F167" i="13"/>
  <c r="F195" i="13"/>
  <c r="C19" i="12"/>
  <c r="F19" i="12"/>
  <c r="E48" i="13"/>
  <c r="E97" i="13"/>
  <c r="F177" i="13"/>
  <c r="E197" i="13"/>
  <c r="F5" i="12"/>
  <c r="H19" i="12"/>
  <c r="D33" i="12"/>
  <c r="E57" i="13"/>
  <c r="E64" i="13"/>
  <c r="F73" i="13"/>
  <c r="E105" i="13"/>
  <c r="E169" i="13"/>
  <c r="H5" i="12"/>
  <c r="C29" i="12"/>
  <c r="F33" i="12"/>
  <c r="E43" i="13"/>
  <c r="E49" i="13"/>
  <c r="E141" i="13"/>
  <c r="E90" i="13"/>
  <c r="F106" i="13"/>
  <c r="E132" i="13"/>
  <c r="E160" i="13"/>
  <c r="E188" i="13"/>
  <c r="F29" i="12"/>
  <c r="F44" i="13"/>
  <c r="F59" i="13"/>
  <c r="E91" i="13"/>
  <c r="F153" i="13"/>
  <c r="F181" i="13"/>
  <c r="C18" i="12"/>
  <c r="E45" i="13"/>
  <c r="E60" i="13"/>
  <c r="E76" i="13"/>
  <c r="E85" i="13"/>
  <c r="E92" i="13"/>
  <c r="E135" i="13"/>
  <c r="E144" i="13"/>
  <c r="H6" i="12"/>
  <c r="F18" i="12"/>
  <c r="F69" i="13"/>
  <c r="E118" i="13"/>
  <c r="E127" i="13"/>
  <c r="E183" i="13"/>
  <c r="H34" i="12"/>
  <c r="E77" i="13"/>
  <c r="F25" i="12"/>
  <c r="D25" i="12"/>
  <c r="E112" i="13"/>
  <c r="D6" i="12"/>
  <c r="F196" i="13"/>
  <c r="E196" i="13"/>
  <c r="E12" i="12"/>
  <c r="F12" i="12" s="1"/>
  <c r="H22" i="12"/>
  <c r="F22" i="12"/>
  <c r="C22" i="12"/>
  <c r="H25" i="12"/>
  <c r="H17" i="12"/>
  <c r="F17" i="12"/>
  <c r="D17" i="12"/>
  <c r="H23" i="12"/>
  <c r="F23" i="12"/>
  <c r="F30" i="12"/>
  <c r="D30" i="12"/>
  <c r="H30" i="12"/>
  <c r="D16" i="12"/>
  <c r="F16" i="12"/>
  <c r="C23" i="12"/>
  <c r="H27" i="12"/>
  <c r="C27" i="12"/>
  <c r="F27" i="12"/>
  <c r="F75" i="13"/>
  <c r="E75" i="13"/>
  <c r="F8" i="12"/>
  <c r="H8" i="12"/>
  <c r="C8" i="12"/>
  <c r="B12" i="12"/>
  <c r="D12" i="12" s="1"/>
  <c r="G12" i="12"/>
  <c r="H12" i="12" s="1"/>
  <c r="G15" i="12"/>
  <c r="H15" i="12" s="1"/>
  <c r="E15" i="12"/>
  <c r="F15" i="12" s="1"/>
  <c r="B15" i="12"/>
  <c r="C15" i="12" s="1"/>
  <c r="F61" i="13"/>
  <c r="E61" i="13"/>
  <c r="F47" i="13"/>
  <c r="E47" i="13"/>
  <c r="F187" i="13"/>
  <c r="E187" i="13"/>
  <c r="H28" i="12"/>
  <c r="E84" i="13"/>
  <c r="E98" i="13"/>
  <c r="F145" i="13"/>
  <c r="E145" i="13"/>
  <c r="E154" i="13"/>
  <c r="E42" i="13"/>
  <c r="E70" i="13"/>
  <c r="E121" i="13"/>
  <c r="E163" i="13"/>
  <c r="G13" i="12"/>
  <c r="H13" i="12" s="1"/>
  <c r="B13" i="12"/>
  <c r="B26" i="12"/>
  <c r="C26" i="12" s="1"/>
  <c r="G26" i="12"/>
  <c r="H26" i="12" s="1"/>
  <c r="C28" i="12"/>
  <c r="E107" i="13"/>
  <c r="F9" i="12"/>
  <c r="F11" i="12"/>
  <c r="D11" i="12"/>
  <c r="D9" i="12"/>
  <c r="F28" i="12"/>
  <c r="H31" i="12"/>
  <c r="F173" i="13"/>
  <c r="E173" i="13"/>
  <c r="E182" i="13"/>
  <c r="C5" i="12"/>
  <c r="E13" i="12"/>
  <c r="F13" i="12" s="1"/>
  <c r="E93" i="13"/>
  <c r="F131" i="13"/>
  <c r="E131" i="13"/>
  <c r="E140" i="13"/>
  <c r="E191" i="13"/>
  <c r="E26" i="12"/>
  <c r="F26" i="12" s="1"/>
  <c r="C31" i="12"/>
  <c r="E79" i="13"/>
  <c r="E149" i="13"/>
  <c r="E37" i="13"/>
  <c r="E65" i="13"/>
  <c r="F117" i="13"/>
  <c r="E117" i="13"/>
  <c r="F201" i="13"/>
  <c r="E201" i="13"/>
  <c r="H11" i="12"/>
  <c r="G14" i="12"/>
  <c r="H14" i="12" s="1"/>
  <c r="F31" i="12"/>
  <c r="E51" i="13"/>
  <c r="F103" i="13"/>
  <c r="E103" i="13"/>
  <c r="F159" i="13"/>
  <c r="E159" i="13"/>
  <c r="F89" i="13"/>
  <c r="E89" i="13"/>
  <c r="E126" i="13"/>
  <c r="H29" i="12"/>
  <c r="E38" i="13"/>
  <c r="E52" i="13"/>
  <c r="E66" i="13"/>
  <c r="E80" i="13"/>
  <c r="E94" i="13"/>
  <c r="E108" i="13"/>
  <c r="E122" i="13"/>
  <c r="E136" i="13"/>
  <c r="E150" i="13"/>
  <c r="E164" i="13"/>
  <c r="E178" i="13"/>
  <c r="E192" i="13"/>
  <c r="E202" i="13"/>
  <c r="E39" i="13"/>
  <c r="E53" i="13"/>
  <c r="E67" i="13"/>
  <c r="E81" i="13"/>
  <c r="E95" i="13"/>
  <c r="E109" i="13"/>
  <c r="E123" i="13"/>
  <c r="E137" i="13"/>
  <c r="E151" i="13"/>
  <c r="E165" i="13"/>
  <c r="E179" i="13"/>
  <c r="E193" i="13"/>
  <c r="E58" i="13"/>
  <c r="E72" i="13"/>
  <c r="E86" i="13"/>
  <c r="E100" i="13"/>
  <c r="E114" i="13"/>
  <c r="E128" i="13"/>
  <c r="E142" i="13"/>
  <c r="E156" i="13"/>
  <c r="E170" i="13"/>
  <c r="E184" i="13"/>
  <c r="E198" i="13"/>
  <c r="E133" i="13"/>
  <c r="E147" i="13"/>
  <c r="E161" i="13"/>
  <c r="E175" i="13"/>
  <c r="E189" i="13"/>
  <c r="E203" i="13"/>
  <c r="C24" i="12"/>
  <c r="E40" i="13"/>
  <c r="E54" i="13"/>
  <c r="E68" i="13"/>
  <c r="E82" i="13"/>
  <c r="E96" i="13"/>
  <c r="E110" i="13"/>
  <c r="E124" i="13"/>
  <c r="E138" i="13"/>
  <c r="E152" i="13"/>
  <c r="E166" i="13"/>
  <c r="E180" i="13"/>
  <c r="E194" i="13"/>
  <c r="E101" i="13"/>
  <c r="E115" i="13"/>
  <c r="E129" i="13"/>
  <c r="E143" i="13"/>
  <c r="E157" i="13"/>
  <c r="E171" i="13"/>
  <c r="E185" i="13"/>
  <c r="E199" i="13"/>
  <c r="E134" i="13"/>
  <c r="E148" i="13"/>
  <c r="E162" i="13"/>
  <c r="E176" i="13"/>
  <c r="E190" i="13"/>
  <c r="E204" i="13"/>
  <c r="D32" i="13" l="1"/>
  <c r="D25" i="13"/>
  <c r="F7" i="13"/>
  <c r="F6" i="13"/>
  <c r="C10" i="12"/>
  <c r="C14" i="12"/>
  <c r="D32" i="12"/>
  <c r="D20" i="12"/>
  <c r="D18" i="12"/>
  <c r="D7" i="12"/>
  <c r="D19" i="12"/>
  <c r="D22" i="12"/>
  <c r="C17" i="12"/>
  <c r="D29" i="12"/>
  <c r="D15" i="12"/>
  <c r="D34" i="12"/>
  <c r="C33" i="12"/>
  <c r="D28" i="12"/>
  <c r="D21" i="12"/>
  <c r="C25" i="12"/>
  <c r="C30" i="12"/>
  <c r="C9" i="12"/>
  <c r="D26" i="12"/>
  <c r="C12" i="12"/>
  <c r="C16" i="12"/>
  <c r="D27" i="12"/>
  <c r="D13" i="12"/>
  <c r="C13" i="12"/>
  <c r="C11" i="12"/>
  <c r="D23" i="12"/>
  <c r="D8" i="12"/>
  <c r="D31" i="12"/>
  <c r="D33" i="13" l="1"/>
  <c r="D26" i="13"/>
  <c r="F20" i="13"/>
  <c r="E13" i="13"/>
  <c r="E10" i="13"/>
  <c r="F10" i="13"/>
  <c r="F12" i="13"/>
  <c r="E12" i="13"/>
  <c r="F11" i="13"/>
  <c r="E11" i="13"/>
  <c r="E7" i="13"/>
  <c r="F8" i="13"/>
  <c r="E8" i="13"/>
  <c r="F9" i="13"/>
  <c r="E6" i="13"/>
  <c r="F5" i="13"/>
  <c r="E5" i="13"/>
  <c r="D34" i="13" l="1"/>
  <c r="D27" i="13"/>
  <c r="E20" i="13"/>
  <c r="F13" i="13"/>
  <c r="D36" i="13" l="1"/>
  <c r="D35" i="13"/>
  <c r="D28" i="13"/>
  <c r="F21" i="13"/>
  <c r="E21" i="13"/>
  <c r="F14" i="13"/>
  <c r="E14" i="13"/>
  <c r="D29" i="13" l="1"/>
  <c r="F22" i="13"/>
  <c r="E22" i="13"/>
  <c r="F15" i="13"/>
  <c r="E15" i="13"/>
  <c r="D30" i="13" l="1"/>
  <c r="D31" i="13"/>
  <c r="E24" i="13"/>
  <c r="F24" i="13"/>
  <c r="F23" i="13"/>
  <c r="E23" i="13"/>
  <c r="E16" i="13"/>
  <c r="F16" i="13"/>
  <c r="F17" i="13" l="1"/>
  <c r="E17" i="13"/>
  <c r="F18" i="13"/>
  <c r="E18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4" authorId="0" shapeId="0" xr:uid="{5F8BF5B7-EB0D-427D-B406-CEE576309016}">
      <text>
        <r>
          <rPr>
            <sz val="11"/>
            <color theme="1"/>
            <rFont val="Calibri"/>
            <family val="2"/>
            <scheme val="minor"/>
          </rPr>
          <t>SKEW 함수로 계산한 왜도입니다. 0에 가까울수록 대칭입니다.</t>
        </r>
      </text>
    </comment>
    <comment ref="E4" authorId="0" shapeId="0" xr:uid="{089849E4-E94E-429E-B42F-9A8FC6ACFB04}">
      <text>
        <r>
          <rPr>
            <sz val="11"/>
            <color theme="1"/>
            <rFont val="Calibri"/>
            <family val="2"/>
            <scheme val="minor"/>
          </rPr>
          <t>표준편차 ÷ 평균 절댓값. 10% 이하 낮음, 10~20% 중간, 20% 초과 높음.</t>
        </r>
      </text>
    </comment>
    <comment ref="G4" authorId="0" shapeId="0" xr:uid="{487122D1-1313-4231-A285-5A8884A6B75D}">
      <text>
        <r>
          <rPr>
            <sz val="11"/>
            <color theme="1"/>
            <rFont val="Calibri"/>
            <family val="2"/>
            <scheme val="minor"/>
          </rPr>
          <t>연속 일자의 절대 변화율 평균입니다. 5% 이하 완만, 5~10% 보통, 10% 초과 빠름.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4" authorId="0" shapeId="0" xr:uid="{50627739-BAFE-4243-902C-D3926DCAF723}">
      <text>
        <r>
          <rPr>
            <sz val="11"/>
            <color theme="1"/>
            <rFont val="Calibri"/>
            <family val="2"/>
            <scheme val="minor"/>
          </rPr>
          <t>CORREL 함수로 계산한 피어슨 상관계수입니다. -1~1 범위이며, 인과관계나 선후관계를 자동으로 증명하지 않습니다.</t>
        </r>
      </text>
    </comment>
  </commentList>
</comments>
</file>

<file path=xl/sharedStrings.xml><?xml version="1.0" encoding="utf-8"?>
<sst xmlns="http://schemas.openxmlformats.org/spreadsheetml/2006/main" count="1032" uniqueCount="467">
  <si>
    <t>1. KPI 목록</t>
  </si>
  <si>
    <t>KPI_ID</t>
  </si>
  <si>
    <t>KPI명</t>
  </si>
  <si>
    <t>KPI 설명</t>
  </si>
  <si>
    <t>관리 방향</t>
  </si>
  <si>
    <t>관리 주기</t>
  </si>
  <si>
    <t>단위</t>
  </si>
  <si>
    <t>정상 기준/범위</t>
  </si>
  <si>
    <t>경고 기준</t>
  </si>
  <si>
    <t>이상 기준</t>
  </si>
  <si>
    <t>원가 연결 여부</t>
  </si>
  <si>
    <t>비고</t>
  </si>
  <si>
    <t>KPI_EX01</t>
  </si>
  <si>
    <t>높을수록 좋음</t>
  </si>
  <si>
    <t>일</t>
  </si>
  <si>
    <t>예</t>
  </si>
  <si>
    <t>2. 공정·설비 변수 목록</t>
  </si>
  <si>
    <t>변수_ID</t>
  </si>
  <si>
    <t>변수명</t>
  </si>
  <si>
    <t>데이터 주기</t>
  </si>
  <si>
    <t>데이터 형태</t>
  </si>
  <si>
    <t>변동성</t>
  </si>
  <si>
    <t>계절/주기</t>
  </si>
  <si>
    <t>정상 상태 설명</t>
  </si>
  <si>
    <t>정상 범위(선택)</t>
  </si>
  <si>
    <t>경고 범위(선택)</t>
  </si>
  <si>
    <t>이상 범위(선택)</t>
  </si>
  <si>
    <t>결측/센서 이상 형태</t>
  </si>
  <si>
    <t>필수 여부</t>
  </si>
  <si>
    <t>보안 메모</t>
  </si>
  <si>
    <t>1시간</t>
  </si>
  <si>
    <t>연속형</t>
  </si>
  <si>
    <t>중간</t>
  </si>
  <si>
    <t>필수</t>
  </si>
  <si>
    <t>관계_ID</t>
  </si>
  <si>
    <t>관계 방향</t>
  </si>
  <si>
    <t>관계 강도</t>
  </si>
  <si>
    <t>신뢰도</t>
  </si>
  <si>
    <t>4. 이상 시나리오</t>
  </si>
  <si>
    <t>실제 고장 사례를 그대로 복사하지 말고, 가정한 이상 유형과 변수 변화의 순서를 작성합니다.</t>
  </si>
  <si>
    <t>시나리오_ID</t>
  </si>
  <si>
    <t>이상 유형</t>
  </si>
  <si>
    <t>발생 설비/공정(익명)</t>
  </si>
  <si>
    <t>발생 조건</t>
  </si>
  <si>
    <t>시작 변수_ID</t>
  </si>
  <si>
    <t>초기 변화</t>
  </si>
  <si>
    <t>후속 변화 순서</t>
  </si>
  <si>
    <t>지속시간</t>
  </si>
  <si>
    <t>심각도</t>
  </si>
  <si>
    <t>영향 KPI_ID</t>
  </si>
  <si>
    <t>원가 영향 방향</t>
  </si>
  <si>
    <t>권장 점검/조치</t>
  </si>
  <si>
    <t>SCN_EX01</t>
  </si>
  <si>
    <t>증가</t>
  </si>
  <si>
    <t>관리 대상 KPI를 작성합니다. KPI와 변수로 함께 쓰이는 항목은 ‘KPI_변수_매핑’ 시트에 한 줄로 연결하세요.</t>
  </si>
  <si>
    <t>KPI를 설명하거나 이상 원인을 분석하는 변수를 작성합니다. 같은 항목이 KPI이기도 하면 ‘KPI_변수_매핑’ 시트에서 역할을 함께 등록하세요.</t>
  </si>
  <si>
    <t>%</t>
    <phoneticPr fontId="8" type="noConversion"/>
  </si>
  <si>
    <t>Nm3</t>
    <phoneticPr fontId="8" type="noConversion"/>
  </si>
  <si>
    <t>약품A 원단위</t>
  </si>
  <si>
    <t>약품B 원단위</t>
  </si>
  <si>
    <t>낮을수록 좋음</t>
  </si>
  <si>
    <t>kg</t>
    <phoneticPr fontId="8" type="noConversion"/>
  </si>
  <si>
    <r>
      <t>kg/</t>
    </r>
    <r>
      <rPr>
        <sz val="10"/>
        <color rgb="FF1F2937"/>
        <rFont val="맑은 고딕"/>
        <family val="3"/>
        <charset val="129"/>
      </rPr>
      <t>원료</t>
    </r>
    <r>
      <rPr>
        <sz val="10"/>
        <color rgb="FF1F2937"/>
        <rFont val="Aptos"/>
      </rPr>
      <t>(ton)</t>
    </r>
    <phoneticPr fontId="8" type="noConversion"/>
  </si>
  <si>
    <t>g/Nm3</t>
    <phoneticPr fontId="8" type="noConversion"/>
  </si>
  <si>
    <t>아니오</t>
  </si>
  <si>
    <r>
      <rPr>
        <b/>
        <sz val="10"/>
        <color rgb="FFFFFFFF"/>
        <rFont val="Aptos"/>
        <family val="3"/>
      </rPr>
      <t>KPI</t>
    </r>
    <r>
      <rPr>
        <b/>
        <sz val="10"/>
        <color rgb="FFFFFFFF"/>
        <rFont val="Aptos"/>
        <family val="3"/>
        <charset val="129"/>
      </rPr>
      <t>로도 사용 여부</t>
    </r>
    <phoneticPr fontId="8" type="noConversion"/>
  </si>
  <si>
    <t>아니오</t>
    <phoneticPr fontId="8" type="noConversion"/>
  </si>
  <si>
    <t>급격한 이탈</t>
    <phoneticPr fontId="8" type="noConversion"/>
  </si>
  <si>
    <r>
      <rPr>
        <sz val="10"/>
        <color rgb="FF1F2937"/>
        <rFont val="맑은 고딕"/>
        <family val="3"/>
        <charset val="129"/>
      </rPr>
      <t>설비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수리기간에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따라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변동</t>
    </r>
    <phoneticPr fontId="8" type="noConversion"/>
  </si>
  <si>
    <t>모름</t>
    <phoneticPr fontId="8" type="noConversion"/>
  </si>
  <si>
    <t>완만하게 변동</t>
    <phoneticPr fontId="8" type="noConversion"/>
  </si>
  <si>
    <t>없음</t>
  </si>
  <si>
    <t>계절</t>
  </si>
  <si>
    <t>1일</t>
  </si>
  <si>
    <t>ton</t>
    <phoneticPr fontId="8" type="noConversion"/>
  </si>
  <si>
    <t>m3/h</t>
    <phoneticPr fontId="8" type="noConversion"/>
  </si>
  <si>
    <t>℃</t>
  </si>
  <si>
    <t>bar</t>
    <phoneticPr fontId="8" type="noConversion"/>
  </si>
  <si>
    <t>W/(m²·K)</t>
  </si>
  <si>
    <t>g/L</t>
    <phoneticPr fontId="8" type="noConversion"/>
  </si>
  <si>
    <t>고정값 또는 0으로 고정</t>
    <phoneticPr fontId="8" type="noConversion"/>
  </si>
  <si>
    <t>계산식</t>
    <phoneticPr fontId="8" type="noConversion"/>
  </si>
  <si>
    <t>계측값</t>
    <phoneticPr fontId="8" type="noConversion"/>
  </si>
  <si>
    <t>(KPI_U04_OUT_P01 x 1000) / VAR_U04_FEED_U02</t>
    <phoneticPr fontId="8" type="noConversion"/>
  </si>
  <si>
    <t>(KPI_U04_OUT_P02 x 1000) / VAR_U04_FEED_U02</t>
    <phoneticPr fontId="8" type="noConversion"/>
  </si>
  <si>
    <t>(KPI_U04_OUT_P03 x 1000) / VAR_U04_FEED_U02</t>
    <phoneticPr fontId="8" type="noConversion"/>
  </si>
  <si>
    <t>분석값</t>
    <phoneticPr fontId="8" type="noConversion"/>
  </si>
  <si>
    <t>KPI_U04_CHEM_M01 * 1000 / KPI_U04_QTY_G01</t>
    <phoneticPr fontId="8" type="noConversion"/>
  </si>
  <si>
    <t>KPI_U04_CHEM_M02 * 1000 / KPI_U04_QTY_G01</t>
    <phoneticPr fontId="8" type="noConversion"/>
  </si>
  <si>
    <t>변수별 자동 통계 요약</t>
  </si>
  <si>
    <t>Raw_Data 시트의 1행 변수명과 2~1001행 데이터를 자동 참조합니다. 실제 수치는 이 시트에만 두고, 최종 템플릿에는 범주형 결과만 옮기면 됩니다.</t>
  </si>
  <si>
    <t>왜도</t>
  </si>
  <si>
    <t>분포형태</t>
  </si>
  <si>
    <t>분포비대칭</t>
  </si>
  <si>
    <t>변동계수(CV)</t>
  </si>
  <si>
    <t>평균 절대 일변화율</t>
  </si>
  <si>
    <t>값 변화속도</t>
  </si>
  <si>
    <t>변수 관계 자동 분석</t>
  </si>
  <si>
    <t>B열과 C열에 변수명을 선택하면 상관계수·방향·강도가 자동 계산됩니다. 상관계수는 인과관계를 의미하지 않으며, 영향 방향은 현업 판단으로 확인하세요.</t>
  </si>
  <si>
    <t>영향 주는 변수</t>
  </si>
  <si>
    <t>영향받는 변수</t>
  </si>
  <si>
    <t>상관계수</t>
  </si>
  <si>
    <t>판단근거</t>
  </si>
  <si>
    <t>REL_001</t>
  </si>
  <si>
    <t>REL_002</t>
  </si>
  <si>
    <t>REL_003</t>
  </si>
  <si>
    <t>REL_004</t>
  </si>
  <si>
    <t>REL_005</t>
  </si>
  <si>
    <t>REL_006</t>
  </si>
  <si>
    <t>REL_007</t>
  </si>
  <si>
    <t>REL_008</t>
  </si>
  <si>
    <t>REL_009</t>
  </si>
  <si>
    <t>REL_010</t>
  </si>
  <si>
    <t>REL_011</t>
  </si>
  <si>
    <t>REL_012</t>
  </si>
  <si>
    <t>REL_013</t>
  </si>
  <si>
    <t>REL_014</t>
  </si>
  <si>
    <t>REL_015</t>
  </si>
  <si>
    <t>REL_016</t>
  </si>
  <si>
    <t>REL_017</t>
  </si>
  <si>
    <t>REL_018</t>
  </si>
  <si>
    <t>REL_019</t>
  </si>
  <si>
    <t>REL_020</t>
  </si>
  <si>
    <t>REL_021</t>
  </si>
  <si>
    <t>REL_022</t>
  </si>
  <si>
    <t>REL_023</t>
  </si>
  <si>
    <t>REL_024</t>
  </si>
  <si>
    <t>REL_025</t>
  </si>
  <si>
    <t>REL_026</t>
  </si>
  <si>
    <t>REL_027</t>
  </si>
  <si>
    <t>REL_028</t>
  </si>
  <si>
    <t>REL_029</t>
  </si>
  <si>
    <t>REL_030</t>
  </si>
  <si>
    <t>REL_031</t>
  </si>
  <si>
    <t>REL_032</t>
  </si>
  <si>
    <t>REL_033</t>
  </si>
  <si>
    <t>REL_034</t>
  </si>
  <si>
    <t>REL_035</t>
  </si>
  <si>
    <t>REL_036</t>
  </si>
  <si>
    <t>REL_037</t>
  </si>
  <si>
    <t>REL_038</t>
  </si>
  <si>
    <t>REL_039</t>
  </si>
  <si>
    <t>REL_040</t>
  </si>
  <si>
    <t>REL_041</t>
  </si>
  <si>
    <t>REL_042</t>
  </si>
  <si>
    <t>REL_043</t>
  </si>
  <si>
    <t>REL_044</t>
  </si>
  <si>
    <t>REL_045</t>
  </si>
  <si>
    <t>REL_046</t>
  </si>
  <si>
    <t>REL_047</t>
  </si>
  <si>
    <t>REL_048</t>
  </si>
  <si>
    <t>REL_049</t>
  </si>
  <si>
    <t>REL_050</t>
  </si>
  <si>
    <t>REL_051</t>
  </si>
  <si>
    <t>REL_052</t>
  </si>
  <si>
    <t>REL_053</t>
  </si>
  <si>
    <t>REL_054</t>
  </si>
  <si>
    <t>REL_055</t>
  </si>
  <si>
    <t>REL_056</t>
  </si>
  <si>
    <t>REL_057</t>
  </si>
  <si>
    <t>REL_058</t>
  </si>
  <si>
    <t>REL_059</t>
  </si>
  <si>
    <t>REL_060</t>
  </si>
  <si>
    <t>REL_061</t>
  </si>
  <si>
    <t>REL_062</t>
  </si>
  <si>
    <t>REL_063</t>
  </si>
  <si>
    <t>REL_064</t>
  </si>
  <si>
    <t>REL_065</t>
  </si>
  <si>
    <t>REL_066</t>
  </si>
  <si>
    <t>REL_067</t>
  </si>
  <si>
    <t>REL_068</t>
  </si>
  <si>
    <t>REL_069</t>
  </si>
  <si>
    <t>REL_070</t>
  </si>
  <si>
    <t>REL_071</t>
  </si>
  <si>
    <t>REL_072</t>
  </si>
  <si>
    <t>REL_073</t>
  </si>
  <si>
    <t>REL_074</t>
  </si>
  <si>
    <t>REL_075</t>
  </si>
  <si>
    <t>REL_076</t>
  </si>
  <si>
    <t>REL_077</t>
  </si>
  <si>
    <t>REL_078</t>
  </si>
  <si>
    <t>REL_079</t>
  </si>
  <si>
    <t>REL_080</t>
  </si>
  <si>
    <t>REL_081</t>
  </si>
  <si>
    <t>REL_082</t>
  </si>
  <si>
    <t>REL_083</t>
  </si>
  <si>
    <t>REL_084</t>
  </si>
  <si>
    <t>REL_085</t>
  </si>
  <si>
    <t>REL_086</t>
  </si>
  <si>
    <t>REL_087</t>
  </si>
  <si>
    <t>REL_088</t>
  </si>
  <si>
    <t>REL_089</t>
  </si>
  <si>
    <t>REL_090</t>
  </si>
  <si>
    <t>REL_091</t>
  </si>
  <si>
    <t>REL_092</t>
  </si>
  <si>
    <t>REL_093</t>
  </si>
  <si>
    <t>REL_094</t>
  </si>
  <si>
    <t>REL_095</t>
  </si>
  <si>
    <t>REL_096</t>
  </si>
  <si>
    <t>REL_097</t>
  </si>
  <si>
    <t>REL_098</t>
  </si>
  <si>
    <t>REL_099</t>
  </si>
  <si>
    <t>REL_100</t>
  </si>
  <si>
    <t>REL_101</t>
  </si>
  <si>
    <t>REL_102</t>
  </si>
  <si>
    <t>REL_103</t>
  </si>
  <si>
    <t>REL_104</t>
  </si>
  <si>
    <t>REL_105</t>
  </si>
  <si>
    <t>REL_106</t>
  </si>
  <si>
    <t>REL_107</t>
  </si>
  <si>
    <t>REL_108</t>
  </si>
  <si>
    <t>REL_109</t>
  </si>
  <si>
    <t>REL_110</t>
  </si>
  <si>
    <t>REL_111</t>
  </si>
  <si>
    <t>REL_112</t>
  </si>
  <si>
    <t>REL_113</t>
  </si>
  <si>
    <t>REL_114</t>
  </si>
  <si>
    <t>REL_115</t>
  </si>
  <si>
    <t>REL_116</t>
  </si>
  <si>
    <t>REL_117</t>
  </si>
  <si>
    <t>REL_118</t>
  </si>
  <si>
    <t>REL_119</t>
  </si>
  <si>
    <t>REL_120</t>
  </si>
  <si>
    <t>REL_121</t>
  </si>
  <si>
    <t>REL_122</t>
  </si>
  <si>
    <t>REL_123</t>
  </si>
  <si>
    <t>REL_124</t>
  </si>
  <si>
    <t>REL_125</t>
  </si>
  <si>
    <t>REL_126</t>
  </si>
  <si>
    <t>REL_127</t>
  </si>
  <si>
    <t>REL_128</t>
  </si>
  <si>
    <t>REL_129</t>
  </si>
  <si>
    <t>REL_130</t>
  </si>
  <si>
    <t>REL_131</t>
  </si>
  <si>
    <t>REL_132</t>
  </si>
  <si>
    <t>REL_133</t>
  </si>
  <si>
    <t>REL_134</t>
  </si>
  <si>
    <t>REL_135</t>
  </si>
  <si>
    <t>REL_136</t>
  </si>
  <si>
    <t>REL_137</t>
  </si>
  <si>
    <t>REL_138</t>
  </si>
  <si>
    <t>REL_139</t>
  </si>
  <si>
    <t>REL_140</t>
  </si>
  <si>
    <t>REL_141</t>
  </si>
  <si>
    <t>REL_142</t>
  </si>
  <si>
    <t>REL_143</t>
  </si>
  <si>
    <t>REL_144</t>
  </si>
  <si>
    <t>REL_145</t>
  </si>
  <si>
    <t>REL_146</t>
  </si>
  <si>
    <t>REL_147</t>
  </si>
  <si>
    <t>REL_148</t>
  </si>
  <si>
    <t>REL_149</t>
  </si>
  <si>
    <t>REL_150</t>
  </si>
  <si>
    <t>REL_151</t>
  </si>
  <si>
    <t>REL_152</t>
  </si>
  <si>
    <t>REL_153</t>
  </si>
  <si>
    <t>REL_154</t>
  </si>
  <si>
    <t>REL_155</t>
  </si>
  <si>
    <t>REL_156</t>
  </si>
  <si>
    <t>REL_157</t>
  </si>
  <si>
    <t>REL_158</t>
  </si>
  <si>
    <t>REL_159</t>
  </si>
  <si>
    <t>REL_160</t>
  </si>
  <si>
    <t>REL_161</t>
  </si>
  <si>
    <t>REL_162</t>
  </si>
  <si>
    <t>REL_163</t>
  </si>
  <si>
    <t>REL_164</t>
  </si>
  <si>
    <t>REL_165</t>
  </si>
  <si>
    <t>REL_166</t>
  </si>
  <si>
    <t>REL_167</t>
  </si>
  <si>
    <t>REL_168</t>
  </si>
  <si>
    <t>REL_169</t>
  </si>
  <si>
    <t>REL_170</t>
  </si>
  <si>
    <t>REL_171</t>
  </si>
  <si>
    <t>REL_172</t>
  </si>
  <si>
    <t>REL_173</t>
  </si>
  <si>
    <t>REL_174</t>
  </si>
  <si>
    <t>REL_175</t>
  </si>
  <si>
    <t>REL_176</t>
  </si>
  <si>
    <t>REL_177</t>
  </si>
  <si>
    <t>REL_178</t>
  </si>
  <si>
    <t>REL_179</t>
  </si>
  <si>
    <t>REL_180</t>
  </si>
  <si>
    <t>REL_181</t>
  </si>
  <si>
    <t>REL_182</t>
  </si>
  <si>
    <t>REL_183</t>
  </si>
  <si>
    <t>REL_184</t>
  </si>
  <si>
    <t>REL_185</t>
  </si>
  <si>
    <t>REL_186</t>
  </si>
  <si>
    <t>REL_187</t>
  </si>
  <si>
    <t>REL_188</t>
  </si>
  <si>
    <t>REL_189</t>
  </si>
  <si>
    <t>REL_190</t>
  </si>
  <si>
    <t>REL_191</t>
  </si>
  <si>
    <t>REL_192</t>
  </si>
  <si>
    <t>REL_193</t>
  </si>
  <si>
    <t>REL_194</t>
  </si>
  <si>
    <t>REL_195</t>
  </si>
  <si>
    <t>REL_196</t>
  </si>
  <si>
    <t>REL_197</t>
  </si>
  <si>
    <t>REL_198</t>
  </si>
  <si>
    <t>REL_199</t>
  </si>
  <si>
    <t>REL_200</t>
  </si>
  <si>
    <t>음</t>
    <phoneticPr fontId="8" type="noConversion"/>
  </si>
  <si>
    <t>높음</t>
  </si>
  <si>
    <t>높음</t>
    <phoneticPr fontId="8" type="noConversion"/>
  </si>
  <si>
    <t>생산량 관련</t>
    <phoneticPr fontId="8" type="noConversion"/>
  </si>
  <si>
    <t>품질 함량 관련</t>
    <phoneticPr fontId="8" type="noConversion"/>
  </si>
  <si>
    <t>낮음</t>
  </si>
  <si>
    <t>약품관련</t>
    <phoneticPr fontId="8" type="noConversion"/>
  </si>
  <si>
    <t>양</t>
    <phoneticPr fontId="8" type="noConversion"/>
  </si>
  <si>
    <t>강함</t>
    <phoneticPr fontId="8" type="noConversion"/>
  </si>
  <si>
    <t>중간</t>
    <phoneticPr fontId="8" type="noConversion"/>
  </si>
  <si>
    <t>KPI_U04_QTY_G01</t>
  </si>
  <si>
    <t>KPI_U04_OUT_P01</t>
  </si>
  <si>
    <t>KPI_U04_OUT_P02</t>
  </si>
  <si>
    <t>KPI_U04_OUT_P03</t>
  </si>
  <si>
    <t>KPI_U04_UI_P01</t>
  </si>
  <si>
    <t>KPI_U04_UI_P02</t>
  </si>
  <si>
    <t>KPI_U04_UI_P03</t>
  </si>
  <si>
    <t>KPI_U04_CONTAIN_S01</t>
  </si>
  <si>
    <t>A 생산량</t>
  </si>
  <si>
    <t>B 생산량</t>
  </si>
  <si>
    <t>C 생산량</t>
  </si>
  <si>
    <t>A 원단위</t>
  </si>
  <si>
    <t>B 원단위</t>
  </si>
  <si>
    <t>C 원단위</t>
  </si>
  <si>
    <t>DDD 함량</t>
  </si>
  <si>
    <t>KPI_U04_CHEM_M01</t>
  </si>
  <si>
    <t>약품A 사용량</t>
  </si>
  <si>
    <t>KPI_U04_CHEM_M02</t>
  </si>
  <si>
    <t>약품B 사용량</t>
  </si>
  <si>
    <t>KPI_U04_CHEM_U01</t>
  </si>
  <si>
    <t>KPI_U04_CHEM_U02</t>
  </si>
  <si>
    <t>KPI_U04_STEAM_M01</t>
  </si>
  <si>
    <t>스팀사용량 A</t>
  </si>
  <si>
    <t>KPI_U04_STEAM_M02</t>
  </si>
  <si>
    <t>스팀사용량 B</t>
  </si>
  <si>
    <t>KPI_U04_STEAM_M03</t>
  </si>
  <si>
    <t>스팀사용량 C</t>
  </si>
  <si>
    <t>KPI_U04_STEAM_M04</t>
  </si>
  <si>
    <t>스팀사용량 D</t>
  </si>
  <si>
    <t>KPI_U04_STEAM_M05</t>
  </si>
  <si>
    <t>스팀사용량 E</t>
  </si>
  <si>
    <t>KPI_U04_STEAM_M06</t>
  </si>
  <si>
    <t>스팀사용량 F</t>
  </si>
  <si>
    <t>VAR_U04_UTIL_U01</t>
  </si>
  <si>
    <t>설비가동율</t>
  </si>
  <si>
    <t>VAR_U04_FEED_U02</t>
  </si>
  <si>
    <t>원료장입량</t>
  </si>
  <si>
    <t>VAR_U04_VM_U03</t>
  </si>
  <si>
    <t>VAR_U04_CONC_H01</t>
  </si>
  <si>
    <t>VAR_U04_FLOW_H02</t>
  </si>
  <si>
    <t>VAR_U04_RATIO_H03</t>
  </si>
  <si>
    <t>L/G 비</t>
  </si>
  <si>
    <t>VAR_U04_TEMP_P02</t>
  </si>
  <si>
    <t>VAR_U04_TEMP_P03</t>
  </si>
  <si>
    <t>VAR_U04_DP_P04</t>
  </si>
  <si>
    <t>VAR_U04_TEMP_D01</t>
  </si>
  <si>
    <t>VAR_U04_FLOW_D02</t>
  </si>
  <si>
    <t>VAR_U04_U_D03</t>
  </si>
  <si>
    <t>목표범위 유지</t>
  </si>
  <si>
    <t>단위 없음.</t>
    <phoneticPr fontId="8" type="noConversion"/>
  </si>
  <si>
    <t>총괄열전달계수</t>
    <phoneticPr fontId="8" type="noConversion"/>
  </si>
  <si>
    <t>원단위 평균값 정상 수준 유지</t>
    <phoneticPr fontId="8" type="noConversion"/>
  </si>
  <si>
    <r>
      <rPr>
        <sz val="10"/>
        <color rgb="FF1F2937"/>
        <rFont val="맑은 고딕"/>
        <family val="3"/>
        <charset val="129"/>
      </rPr>
      <t>정상범위</t>
    </r>
    <r>
      <rPr>
        <sz val="10"/>
        <color rgb="FF1F2937"/>
        <rFont val="Arial"/>
        <family val="2"/>
      </rPr>
      <t xml:space="preserve"> 5% </t>
    </r>
    <r>
      <rPr>
        <sz val="10"/>
        <color rgb="FF1F2937"/>
        <rFont val="돋움"/>
        <family val="2"/>
        <charset val="129"/>
      </rPr>
      <t>이상 하락</t>
    </r>
    <phoneticPr fontId="8" type="noConversion"/>
  </si>
  <si>
    <r>
      <rPr>
        <sz val="10"/>
        <color rgb="FF1F2937"/>
        <rFont val="맑은 고딕"/>
        <family val="3"/>
        <charset val="129"/>
      </rPr>
      <t>정상범위</t>
    </r>
    <r>
      <rPr>
        <sz val="10"/>
        <color rgb="FF1F2937"/>
        <rFont val="Arial"/>
        <family val="2"/>
      </rPr>
      <t xml:space="preserve"> 3% </t>
    </r>
    <r>
      <rPr>
        <sz val="10"/>
        <color rgb="FF1F2937"/>
        <rFont val="맑은 고딕"/>
        <family val="3"/>
        <charset val="129"/>
      </rPr>
      <t>이상</t>
    </r>
    <phoneticPr fontId="8" type="noConversion"/>
  </si>
  <si>
    <t>원단위 기준에 따라 감</t>
    <phoneticPr fontId="8" type="noConversion"/>
  </si>
  <si>
    <r>
      <rPr>
        <sz val="10"/>
        <color rgb="FF1F2937"/>
        <rFont val="맑은 고딕"/>
        <family val="3"/>
        <charset val="129"/>
      </rPr>
      <t>목표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수치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돋움"/>
        <family val="2"/>
        <charset val="129"/>
      </rPr>
      <t>이내</t>
    </r>
    <phoneticPr fontId="8" type="noConversion"/>
  </si>
  <si>
    <t>목표수준 초과</t>
    <phoneticPr fontId="8" type="noConversion"/>
  </si>
  <si>
    <r>
      <rPr>
        <sz val="10"/>
        <color rgb="FF1F2937"/>
        <rFont val="맑은 고딕"/>
        <family val="3"/>
        <charset val="129"/>
      </rPr>
      <t>목표수준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근접</t>
    </r>
    <r>
      <rPr>
        <sz val="10"/>
        <color rgb="FF1F2937"/>
        <rFont val="Aptos"/>
      </rPr>
      <t>(3% 내외)</t>
    </r>
    <phoneticPr fontId="8" type="noConversion"/>
  </si>
  <si>
    <t>일 단위 분석+현업 판단</t>
  </si>
  <si>
    <t>현업 판단</t>
  </si>
  <si>
    <r>
      <rPr>
        <sz val="10"/>
        <color rgb="FF1F2937"/>
        <rFont val="맑은 고딕"/>
        <family val="3"/>
        <charset val="129"/>
      </rPr>
      <t>기준 범위</t>
    </r>
    <r>
      <rPr>
        <sz val="10"/>
        <color rgb="FF1F2937"/>
        <rFont val="Arial"/>
        <family val="2"/>
      </rPr>
      <t xml:space="preserve"> 95~96%, 104~105%</t>
    </r>
    <phoneticPr fontId="8" type="noConversion"/>
  </si>
  <si>
    <r>
      <rPr>
        <sz val="10"/>
        <color rgb="FF1F2937"/>
        <rFont val="돋움"/>
        <family val="2"/>
        <charset val="129"/>
      </rPr>
      <t>기준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범위</t>
    </r>
    <r>
      <rPr>
        <sz val="10"/>
        <color rgb="FF1F2937"/>
        <rFont val="Arial"/>
        <family val="2"/>
      </rPr>
      <t xml:space="preserve"> 95~105% </t>
    </r>
    <r>
      <rPr>
        <sz val="10"/>
        <color rgb="FF1F2937"/>
        <rFont val="돋움"/>
        <family val="2"/>
        <charset val="129"/>
      </rPr>
      <t>초과</t>
    </r>
    <phoneticPr fontId="8" type="noConversion"/>
  </si>
  <si>
    <t>가스량</t>
    <phoneticPr fontId="8" type="noConversion"/>
  </si>
  <si>
    <r>
      <rPr>
        <sz val="10"/>
        <color rgb="FF1F2937"/>
        <rFont val="돋움"/>
        <family val="2"/>
        <charset val="129"/>
      </rPr>
      <t>기준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범위</t>
    </r>
    <r>
      <rPr>
        <sz val="10"/>
        <color rgb="FF1F2937"/>
        <rFont val="Arial"/>
        <family val="2"/>
      </rPr>
      <t xml:space="preserve"> 95~105% </t>
    </r>
    <r>
      <rPr>
        <sz val="10"/>
        <color rgb="FF1F2937"/>
        <rFont val="맑은 고딕"/>
        <family val="3"/>
        <charset val="129"/>
      </rPr>
      <t>내</t>
    </r>
    <phoneticPr fontId="8" type="noConversion"/>
  </si>
  <si>
    <r>
      <rPr>
        <sz val="10"/>
        <color rgb="FF1F2937"/>
        <rFont val="맑은 고딕"/>
        <family val="3"/>
        <charset val="129"/>
      </rPr>
      <t>실적관리보다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기준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대비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관리가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중요</t>
    </r>
    <r>
      <rPr>
        <sz val="10"/>
        <color rgb="FF1F2937"/>
        <rFont val="Arial"/>
        <family val="2"/>
      </rPr>
      <t xml:space="preserve">. </t>
    </r>
    <phoneticPr fontId="8" type="noConversion"/>
  </si>
  <si>
    <r>
      <t xml:space="preserve">가스 </t>
    </r>
    <r>
      <rPr>
        <sz val="10"/>
        <color rgb="FF1F2937"/>
        <rFont val="맑은 고딕"/>
        <family val="3"/>
        <charset val="129"/>
      </rPr>
      <t>입구온도</t>
    </r>
    <phoneticPr fontId="8" type="noConversion"/>
  </si>
  <si>
    <r>
      <t xml:space="preserve">가스 </t>
    </r>
    <r>
      <rPr>
        <sz val="10"/>
        <color rgb="FF1F2937"/>
        <rFont val="맑은 고딕"/>
        <family val="3"/>
        <charset val="129"/>
      </rPr>
      <t>출구온도</t>
    </r>
    <phoneticPr fontId="8" type="noConversion"/>
  </si>
  <si>
    <t>휘발분</t>
    <phoneticPr fontId="8" type="noConversion"/>
  </si>
  <si>
    <r>
      <rPr>
        <sz val="10"/>
        <color rgb="FF1F2937"/>
        <rFont val="맑은 고딕"/>
        <family val="3"/>
        <charset val="129"/>
      </rPr>
      <t>오일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유량</t>
    </r>
    <phoneticPr fontId="8" type="noConversion"/>
  </si>
  <si>
    <r>
      <rPr>
        <sz val="10"/>
        <color rgb="FF1F2937"/>
        <rFont val="맑은 고딕"/>
        <family val="3"/>
        <charset val="129"/>
      </rPr>
      <t>법적 규제로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준수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필요</t>
    </r>
    <phoneticPr fontId="8" type="noConversion"/>
  </si>
  <si>
    <t>생산량 저하</t>
    <phoneticPr fontId="8" type="noConversion"/>
  </si>
  <si>
    <t>시작 변수 감소</t>
    <phoneticPr fontId="8" type="noConversion"/>
  </si>
  <si>
    <r>
      <rPr>
        <sz val="10"/>
        <color rgb="FF1F2937"/>
        <rFont val="맑은 고딕"/>
        <family val="3"/>
        <charset val="129"/>
      </rPr>
      <t>시작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변수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감소</t>
    </r>
    <phoneticPr fontId="8" type="noConversion"/>
  </si>
  <si>
    <t>감소</t>
    <phoneticPr fontId="8" type="noConversion"/>
  </si>
  <si>
    <t>조치 사항 없음</t>
    <phoneticPr fontId="8" type="noConversion"/>
  </si>
  <si>
    <t>생산 감소로 이익감소</t>
    <phoneticPr fontId="8" type="noConversion"/>
  </si>
  <si>
    <t>SCN_EX02</t>
    <phoneticPr fontId="8" type="noConversion"/>
  </si>
  <si>
    <t>SCN_EX03</t>
    <phoneticPr fontId="8" type="noConversion"/>
  </si>
  <si>
    <t>SCN_EX04</t>
    <phoneticPr fontId="8" type="noConversion"/>
  </si>
  <si>
    <t>SCN_EX05</t>
    <phoneticPr fontId="8" type="noConversion"/>
  </si>
  <si>
    <t>SCN_EX06</t>
    <phoneticPr fontId="8" type="noConversion"/>
  </si>
  <si>
    <t>DDD 함량 증가</t>
    <phoneticPr fontId="8" type="noConversion"/>
  </si>
  <si>
    <r>
      <rPr>
        <sz val="10"/>
        <color rgb="FF1F2937"/>
        <rFont val="맑은 고딕"/>
        <family val="3"/>
        <charset val="129"/>
      </rPr>
      <t>시작</t>
    </r>
    <r>
      <rPr>
        <sz val="10"/>
        <color rgb="FF1F2937"/>
        <rFont val="Aptos"/>
        <family val="2"/>
      </rPr>
      <t xml:space="preserve"> </t>
    </r>
    <r>
      <rPr>
        <sz val="10"/>
        <color rgb="FF1F2937"/>
        <rFont val="맑은 고딕"/>
        <family val="3"/>
        <charset val="129"/>
      </rPr>
      <t>변수</t>
    </r>
    <r>
      <rPr>
        <sz val="10"/>
        <color rgb="FF1F2937"/>
        <rFont val="Aptos"/>
        <family val="2"/>
      </rPr>
      <t xml:space="preserve"> </t>
    </r>
    <r>
      <rPr>
        <sz val="10"/>
        <color rgb="FF1F2937"/>
        <rFont val="맑은 고딕"/>
        <family val="3"/>
        <charset val="129"/>
      </rPr>
      <t>증가</t>
    </r>
    <phoneticPr fontId="8" type="noConversion"/>
  </si>
  <si>
    <t>KPI_U04_STEAM_M01,
KPI_U04_STEAM_M02,
KPI_U04_STEAM_M03,
KPI_U04_STEAM_M04</t>
    <phoneticPr fontId="8" type="noConversion"/>
  </si>
  <si>
    <t>증가</t>
    <phoneticPr fontId="8" type="noConversion"/>
  </si>
  <si>
    <r>
      <rPr>
        <sz val="10"/>
        <color rgb="FF1F2937"/>
        <rFont val="맑은 고딕"/>
        <family val="3"/>
        <charset val="129"/>
      </rPr>
      <t>시작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변수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증가</t>
    </r>
    <r>
      <rPr>
        <sz val="10"/>
        <color rgb="FF1F2937"/>
        <rFont val="Arial"/>
        <family val="2"/>
      </rPr>
      <t xml:space="preserve"> -&gt; </t>
    </r>
    <r>
      <rPr>
        <sz val="10"/>
        <color rgb="FF1F2937"/>
        <rFont val="Aptos"/>
        <family val="2"/>
      </rPr>
      <t>DDD 증가</t>
    </r>
    <phoneticPr fontId="8" type="noConversion"/>
  </si>
  <si>
    <r>
      <rPr>
        <sz val="10"/>
        <color rgb="FF1F2937"/>
        <rFont val="맑은 고딕"/>
        <family val="3"/>
        <charset val="129"/>
      </rPr>
      <t>시작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변수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감소</t>
    </r>
    <r>
      <rPr>
        <sz val="10"/>
        <color rgb="FF1F2937"/>
        <rFont val="Arial"/>
        <family val="2"/>
      </rPr>
      <t xml:space="preserve"> -&gt; </t>
    </r>
    <r>
      <rPr>
        <sz val="10"/>
        <color rgb="FF1F2937"/>
        <rFont val="Aptos"/>
        <family val="2"/>
      </rPr>
      <t xml:space="preserve">STEAM </t>
    </r>
    <r>
      <rPr>
        <sz val="10"/>
        <color rgb="FF1F2937"/>
        <rFont val="맑은 고딕"/>
        <family val="3"/>
        <charset val="129"/>
      </rPr>
      <t>사용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감소</t>
    </r>
    <r>
      <rPr>
        <sz val="10"/>
        <color rgb="FF1F2937"/>
        <rFont val="Aptos"/>
        <family val="3"/>
        <charset val="129"/>
      </rPr>
      <t xml:space="preserve">  -&gt; DDD </t>
    </r>
    <r>
      <rPr>
        <sz val="10"/>
        <color rgb="FF1F2937"/>
        <rFont val="돋움"/>
        <family val="3"/>
        <charset val="129"/>
      </rPr>
      <t>증가</t>
    </r>
    <phoneticPr fontId="8" type="noConversion"/>
  </si>
  <si>
    <r>
      <t xml:space="preserve">STEAM </t>
    </r>
    <r>
      <rPr>
        <sz val="10"/>
        <color rgb="FF1F2937"/>
        <rFont val="돋움"/>
        <family val="3"/>
        <charset val="129"/>
      </rPr>
      <t>사용</t>
    </r>
    <r>
      <rPr>
        <sz val="10"/>
        <color rgb="FF1F2937"/>
        <rFont val="Aptos"/>
      </rPr>
      <t xml:space="preserve"> </t>
    </r>
    <r>
      <rPr>
        <sz val="10"/>
        <color rgb="FF1F2937"/>
        <rFont val="돋움"/>
        <family val="3"/>
        <charset val="129"/>
      </rPr>
      <t>감소</t>
    </r>
    <r>
      <rPr>
        <sz val="10"/>
        <color rgb="FF1F2937"/>
        <rFont val="Aptos"/>
      </rPr>
      <t xml:space="preserve">  -&gt; DDD </t>
    </r>
    <r>
      <rPr>
        <sz val="10"/>
        <color rgb="FF1F2937"/>
        <rFont val="돋움"/>
        <family val="3"/>
        <charset val="129"/>
      </rPr>
      <t>증가</t>
    </r>
    <phoneticPr fontId="8" type="noConversion"/>
  </si>
  <si>
    <t>시작변수 증가</t>
    <phoneticPr fontId="8" type="noConversion"/>
  </si>
  <si>
    <t>NO</t>
    <phoneticPr fontId="8" type="noConversion"/>
  </si>
  <si>
    <t>공정명</t>
    <phoneticPr fontId="8" type="noConversion"/>
  </si>
  <si>
    <t>변수구분</t>
    <phoneticPr fontId="8" type="noConversion"/>
  </si>
  <si>
    <t>변수명</t>
    <phoneticPr fontId="8" type="noConversion"/>
  </si>
  <si>
    <t>KPI</t>
    <phoneticPr fontId="8" type="noConversion"/>
  </si>
  <si>
    <t>KPI_U04_QTY_G01</t>
    <phoneticPr fontId="8" type="noConversion"/>
  </si>
  <si>
    <t>KPI_U04_OUT_P01</t>
    <phoneticPr fontId="8" type="noConversion"/>
  </si>
  <si>
    <t>KPI_U04_OUT_P02</t>
    <phoneticPr fontId="8" type="noConversion"/>
  </si>
  <si>
    <t>KPI_U04_OUT_P03</t>
    <phoneticPr fontId="8" type="noConversion"/>
  </si>
  <si>
    <t>KPI_U04_UI_P01</t>
    <phoneticPr fontId="8" type="noConversion"/>
  </si>
  <si>
    <t>KPI_U04_UI_P02</t>
    <phoneticPr fontId="8" type="noConversion"/>
  </si>
  <si>
    <t>KPI_U04_UI_P03</t>
    <phoneticPr fontId="8" type="noConversion"/>
  </si>
  <si>
    <t>PR04-01; PR04-02</t>
    <phoneticPr fontId="8" type="noConversion"/>
  </si>
  <si>
    <t>KPI/VAR</t>
    <phoneticPr fontId="8" type="noConversion"/>
  </si>
  <si>
    <t>KPI_U04_CHEM_M01</t>
    <phoneticPr fontId="8" type="noConversion"/>
  </si>
  <si>
    <t>KPI_U04_CHEM_M02</t>
    <phoneticPr fontId="8" type="noConversion"/>
  </si>
  <si>
    <t>KPI_U04_CHEM_U01</t>
    <phoneticPr fontId="8" type="noConversion"/>
  </si>
  <si>
    <t>KPI_U04_CHEM_U02</t>
    <phoneticPr fontId="8" type="noConversion"/>
  </si>
  <si>
    <t>KPI_U04_CONTAIN_S01</t>
    <phoneticPr fontId="8" type="noConversion"/>
  </si>
  <si>
    <t>PR03-01</t>
    <phoneticPr fontId="8" type="noConversion"/>
  </si>
  <si>
    <t>KPI_U04_STEAM_M01</t>
    <phoneticPr fontId="8" type="noConversion"/>
  </si>
  <si>
    <t>PR03-02</t>
    <phoneticPr fontId="8" type="noConversion"/>
  </si>
  <si>
    <t>KPI_U04_STEAM_M02</t>
    <phoneticPr fontId="8" type="noConversion"/>
  </si>
  <si>
    <t>PR04-01</t>
    <phoneticPr fontId="8" type="noConversion"/>
  </si>
  <si>
    <t>KPI_U04_STEAM_M03</t>
    <phoneticPr fontId="8" type="noConversion"/>
  </si>
  <si>
    <t>PR04-02</t>
    <phoneticPr fontId="8" type="noConversion"/>
  </si>
  <si>
    <t>KPI_U04_STEAM_M04</t>
    <phoneticPr fontId="8" type="noConversion"/>
  </si>
  <si>
    <t>PR05-01</t>
    <phoneticPr fontId="8" type="noConversion"/>
  </si>
  <si>
    <t>KPI_U04_STEAM_M05</t>
    <phoneticPr fontId="8" type="noConversion"/>
  </si>
  <si>
    <t>PR05-02</t>
    <phoneticPr fontId="8" type="noConversion"/>
  </si>
  <si>
    <t>KPI_U04_STEAM_M06</t>
    <phoneticPr fontId="8" type="noConversion"/>
  </si>
  <si>
    <t>VAR</t>
    <phoneticPr fontId="8" type="noConversion"/>
  </si>
  <si>
    <t>VAR_U04_UTIL_U01</t>
    <phoneticPr fontId="8" type="noConversion"/>
  </si>
  <si>
    <t>VAR_U04_FEED_U02</t>
    <phoneticPr fontId="8" type="noConversion"/>
  </si>
  <si>
    <t>VAR_U04_VM_U03</t>
    <phoneticPr fontId="8" type="noConversion"/>
  </si>
  <si>
    <t>PR02</t>
    <phoneticPr fontId="8" type="noConversion"/>
  </si>
  <si>
    <t>VAR_U04_CONC_H01</t>
    <phoneticPr fontId="8" type="noConversion"/>
  </si>
  <si>
    <t>VAR_U04_FLOW_H02</t>
    <phoneticPr fontId="8" type="noConversion"/>
  </si>
  <si>
    <t>VAR_U04_RATIO_H03</t>
    <phoneticPr fontId="8" type="noConversion"/>
  </si>
  <si>
    <t>PR01</t>
    <phoneticPr fontId="8" type="noConversion"/>
  </si>
  <si>
    <t>VAR_U04_TEMP_P02</t>
    <phoneticPr fontId="8" type="noConversion"/>
  </si>
  <si>
    <t>VAR_U04_TEMP_P03</t>
    <phoneticPr fontId="8" type="noConversion"/>
  </si>
  <si>
    <t>VAR_U04_DP_P04</t>
    <phoneticPr fontId="8" type="noConversion"/>
  </si>
  <si>
    <t>VAR_U04_TEMP_D01</t>
    <phoneticPr fontId="8" type="noConversion"/>
  </si>
  <si>
    <t>PR05-01 ; PR05-02 ; PR05-03</t>
    <phoneticPr fontId="8" type="noConversion"/>
  </si>
  <si>
    <t>VAR_U04_FLOW_D02</t>
    <phoneticPr fontId="8" type="noConversion"/>
  </si>
  <si>
    <t>PR05-03</t>
    <phoneticPr fontId="8" type="noConversion"/>
  </si>
  <si>
    <t>VAR_U04_U_D03</t>
    <phoneticPr fontId="8" type="noConversion"/>
  </si>
  <si>
    <r>
      <t xml:space="preserve">VAR_U04_DP_P04 </t>
    </r>
    <r>
      <rPr>
        <sz val="10"/>
        <color rgb="FF1F2937"/>
        <rFont val="맑은 고딕"/>
        <family val="3"/>
        <charset val="129"/>
      </rPr>
      <t>확인</t>
    </r>
    <r>
      <rPr>
        <sz val="10"/>
        <color rgb="FF1F2937"/>
        <rFont val="Arial"/>
        <family val="2"/>
      </rPr>
      <t>,</t>
    </r>
    <r>
      <rPr>
        <sz val="10"/>
        <color rgb="FF1F2937"/>
        <rFont val="Aptos"/>
      </rPr>
      <t xml:space="preserve">
PR01 </t>
    </r>
    <r>
      <rPr>
        <sz val="10"/>
        <color rgb="FF1F2937"/>
        <rFont val="맑은 고딕"/>
        <family val="3"/>
        <charset val="129"/>
      </rPr>
      <t>공정</t>
    </r>
    <r>
      <rPr>
        <sz val="10"/>
        <color rgb="FF1F2937"/>
        <rFont val="Arial"/>
        <family val="2"/>
      </rPr>
      <t xml:space="preserve"> 관련</t>
    </r>
    <r>
      <rPr>
        <sz val="10"/>
        <color rgb="FF1F2937"/>
        <rFont val="Aptos"/>
        <family val="2"/>
        <charset val="129"/>
      </rPr>
      <t xml:space="preserve"> 값 </t>
    </r>
    <r>
      <rPr>
        <sz val="10"/>
        <color rgb="FF1F2937"/>
        <rFont val="맑은 고딕"/>
        <family val="3"/>
        <charset val="129"/>
      </rPr>
      <t>확인</t>
    </r>
    <phoneticPr fontId="8" type="noConversion"/>
  </si>
  <si>
    <t>시작변수 증가 시켜야하나 최적화 방안 고려</t>
    <phoneticPr fontId="8" type="noConversion"/>
  </si>
  <si>
    <t>KPI_U04_STEAM_M05,
KPI_U04_STEAM_M06,</t>
    <phoneticPr fontId="8" type="noConversion"/>
  </si>
  <si>
    <r>
      <rPr>
        <sz val="10"/>
        <color rgb="FF1F2937"/>
        <rFont val="맑은 고딕"/>
        <family val="3"/>
        <charset val="129"/>
      </rPr>
      <t>시작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변수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감소</t>
    </r>
    <r>
      <rPr>
        <sz val="10"/>
        <color rgb="FF1F2937"/>
        <rFont val="Aptos"/>
      </rPr>
      <t xml:space="preserve"> → 생산량 감소</t>
    </r>
    <phoneticPr fontId="8" type="noConversion"/>
  </si>
  <si>
    <t>KPI_U04_OUT_P02,
KPI_U04_UI_P02</t>
    <phoneticPr fontId="8" type="noConversion"/>
  </si>
  <si>
    <t>시작변수 증가로 생산량 증가</t>
    <phoneticPr fontId="8" type="noConversion"/>
  </si>
  <si>
    <t>전체</t>
    <phoneticPr fontId="8" type="noConversion"/>
  </si>
  <si>
    <t>KPI_U04_OUT_P01,
KPI_U04_OUT_P02,
KPI_U04_UI_P01,
KPI_U04_UI_P02,
KPI_U04_QTY_G01</t>
    <phoneticPr fontId="8" type="noConversion"/>
  </si>
  <si>
    <t>설비 차압</t>
    <phoneticPr fontId="8" type="noConversion"/>
  </si>
  <si>
    <t>설비 온도</t>
    <phoneticPr fontId="8" type="noConversion"/>
  </si>
  <si>
    <t>유량</t>
    <phoneticPr fontId="8" type="noConversion"/>
  </si>
  <si>
    <t>농도</t>
    <phoneticPr fontId="8" type="noConversion"/>
  </si>
  <si>
    <r>
      <t>kg/</t>
    </r>
    <r>
      <rPr>
        <sz val="10"/>
        <color rgb="FF1F2937"/>
        <rFont val="맑은 고딕"/>
        <family val="3"/>
        <charset val="129"/>
      </rPr>
      <t>천</t>
    </r>
    <r>
      <rPr>
        <sz val="10"/>
        <color rgb="FF1F2937"/>
        <rFont val="Arial"/>
        <family val="2"/>
      </rPr>
      <t>Nm3(</t>
    </r>
    <r>
      <rPr>
        <sz val="10"/>
        <color rgb="FF1F2937"/>
        <rFont val="맑은 고딕"/>
        <family val="3"/>
        <charset val="129"/>
      </rPr>
      <t>가스량</t>
    </r>
    <r>
      <rPr>
        <sz val="10"/>
        <color rgb="FF1F2937"/>
        <rFont val="Arial"/>
        <family val="2"/>
      </rPr>
      <t>)</t>
    </r>
    <phoneticPr fontId="8" type="noConversion"/>
  </si>
  <si>
    <t>SCN_EX07</t>
    <phoneticPr fontId="8" type="noConversion"/>
  </si>
  <si>
    <t>PR05-01 ; PR05-02 ; PR05-03</t>
  </si>
  <si>
    <t>PR02</t>
  </si>
  <si>
    <t>PR05-01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</si>
</sst>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%"/>
  </numFmts>
  <fonts count="27">
    <font>
      <sz val="11"/>
      <name val="Carlito"/>
    </font>
    <font>
      <sz val="11"/>
      <color theme="1"/>
      <name val="맑은 고딕"/>
      <family val="2"/>
      <charset val="129"/>
    </font>
    <font>
      <b/>
      <sz val="16"/>
      <color rgb="FFFFFFFF"/>
      <name val="Aptos"/>
    </font>
    <font>
      <sz val="11"/>
      <name val="Aptos"/>
    </font>
    <font>
      <i/>
      <sz val="10"/>
      <color rgb="FF1F2937"/>
      <name val="Aptos"/>
    </font>
    <font>
      <b/>
      <sz val="10"/>
      <color rgb="FFFFFFFF"/>
      <name val="Aptos"/>
    </font>
    <font>
      <sz val="10"/>
      <color rgb="FF1F2937"/>
      <name val="Aptos"/>
    </font>
    <font>
      <sz val="11"/>
      <name val="Carlito"/>
    </font>
    <font>
      <sz val="8"/>
      <name val="돋움"/>
      <family val="3"/>
      <charset val="129"/>
    </font>
    <font>
      <sz val="10"/>
      <color rgb="FF1F2937"/>
      <name val="맑은 고딕"/>
      <family val="3"/>
      <charset val="129"/>
    </font>
    <font>
      <sz val="10"/>
      <color rgb="FF1F2937"/>
      <name val="Arial"/>
      <family val="2"/>
    </font>
    <font>
      <sz val="10"/>
      <color rgb="FF1F2937"/>
      <name val="돋움"/>
      <family val="2"/>
      <charset val="129"/>
    </font>
    <font>
      <sz val="10"/>
      <color rgb="FF1F2937"/>
      <name val="Aptos"/>
      <family val="3"/>
      <charset val="129"/>
    </font>
    <font>
      <b/>
      <sz val="10"/>
      <color rgb="FFFFFFFF"/>
      <name val="Aptos"/>
      <family val="3"/>
    </font>
    <font>
      <b/>
      <sz val="10"/>
      <color rgb="FFFFFFFF"/>
      <name val="Aptos"/>
      <family val="3"/>
      <charset val="129"/>
    </font>
    <font>
      <sz val="11"/>
      <color theme="1"/>
      <name val="Calibri"/>
      <family val="2"/>
      <scheme val="minor"/>
    </font>
    <font>
      <b/>
      <sz val="14"/>
      <color rgb="FFFFFFFF"/>
      <name val="맑은 고딕"/>
      <family val="3"/>
      <charset val="129"/>
    </font>
    <font>
      <i/>
      <sz val="11"/>
      <color rgb="FF666666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008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666666"/>
      <name val="맑은 고딕"/>
      <family val="3"/>
      <charset val="129"/>
    </font>
    <font>
      <sz val="10"/>
      <color rgb="FF1F2937"/>
      <name val="Aptos"/>
      <family val="2"/>
      <charset val="129"/>
    </font>
    <font>
      <sz val="10"/>
      <color rgb="FF1F2937"/>
      <name val="돋움"/>
      <family val="3"/>
      <charset val="129"/>
    </font>
    <font>
      <sz val="10"/>
      <color rgb="FF1F2937"/>
      <name val="Aptos"/>
      <family val="2"/>
    </font>
    <font>
      <sz val="11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EF6FC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/>
      <bottom/>
      <diagonal/>
    </border>
    <border>
      <left style="thin">
        <color rgb="FFB7C9D6"/>
      </left>
      <right style="thin">
        <color rgb="FFB7C9D6"/>
      </right>
      <top/>
      <bottom/>
      <diagonal/>
    </border>
    <border>
      <left style="thin">
        <color rgb="FFB7C9D6"/>
      </left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 style="hair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15" fillId="0" borderId="0"/>
  </cellStyleXfs>
  <cellXfs count="37">
    <xf numFmtId="0" fontId="0" fillId="0" borderId="0" xfId="0"/>
    <xf numFmtId="0" fontId="3" fillId="0" borderId="0" xfId="1" applyFont="1"/>
    <xf numFmtId="0" fontId="5" fillId="2" borderId="1" xfId="1" applyFont="1" applyFill="1" applyBorder="1" applyAlignment="1">
      <alignment horizontal="center" vertical="center" wrapText="1"/>
    </xf>
    <xf numFmtId="0" fontId="6" fillId="5" borderId="2" xfId="1" applyFont="1" applyFill="1" applyBorder="1" applyAlignment="1">
      <alignment vertical="center" wrapText="1"/>
    </xf>
    <xf numFmtId="0" fontId="6" fillId="5" borderId="3" xfId="1" applyFont="1" applyFill="1" applyBorder="1" applyAlignment="1">
      <alignment vertical="center" wrapText="1"/>
    </xf>
    <xf numFmtId="0" fontId="6" fillId="5" borderId="4" xfId="1" applyFont="1" applyFill="1" applyBorder="1" applyAlignment="1">
      <alignment vertical="center" wrapText="1"/>
    </xf>
    <xf numFmtId="0" fontId="0" fillId="0" borderId="0" xfId="0"/>
    <xf numFmtId="0" fontId="3" fillId="0" borderId="0" xfId="1" applyFont="1"/>
    <xf numFmtId="0" fontId="12" fillId="5" borderId="3" xfId="1" applyFont="1" applyFill="1" applyBorder="1" applyAlignment="1">
      <alignment vertical="center" wrapText="1"/>
    </xf>
    <xf numFmtId="0" fontId="13" fillId="2" borderId="1" xfId="1" applyFont="1" applyFill="1" applyBorder="1" applyAlignment="1">
      <alignment horizontal="center" vertical="center" wrapText="1"/>
    </xf>
    <xf numFmtId="0" fontId="9" fillId="5" borderId="3" xfId="1" applyFont="1" applyFill="1" applyBorder="1" applyAlignment="1">
      <alignment vertical="center" wrapText="1"/>
    </xf>
    <xf numFmtId="0" fontId="15" fillId="0" borderId="0" xfId="2"/>
    <xf numFmtId="0" fontId="18" fillId="6" borderId="5" xfId="2" applyFont="1" applyFill="1" applyBorder="1" applyAlignment="1">
      <alignment horizontal="center" vertical="center" wrapText="1"/>
    </xf>
    <xf numFmtId="0" fontId="19" fillId="0" borderId="6" xfId="2" applyFont="1" applyBorder="1"/>
    <xf numFmtId="0" fontId="20" fillId="0" borderId="6" xfId="2" applyFont="1" applyBorder="1" applyAlignment="1">
      <alignment horizontal="center" vertical="center"/>
    </xf>
    <xf numFmtId="176" fontId="20" fillId="0" borderId="6" xfId="2" applyNumberFormat="1" applyFont="1" applyBorder="1" applyAlignment="1">
      <alignment horizontal="center" vertical="center"/>
    </xf>
    <xf numFmtId="177" fontId="20" fillId="0" borderId="6" xfId="2" applyNumberFormat="1" applyFont="1" applyBorder="1" applyAlignment="1">
      <alignment horizontal="center" vertical="center"/>
    </xf>
    <xf numFmtId="0" fontId="21" fillId="0" borderId="0" xfId="2" applyFont="1"/>
    <xf numFmtId="0" fontId="22" fillId="0" borderId="6" xfId="2" applyFont="1" applyBorder="1" applyAlignment="1">
      <alignment horizontal="center" vertical="center" wrapText="1"/>
    </xf>
    <xf numFmtId="0" fontId="21" fillId="0" borderId="0" xfId="2" applyFont="1" applyAlignment="1">
      <alignment horizontal="center" vertical="center" wrapText="1"/>
    </xf>
    <xf numFmtId="176" fontId="15" fillId="0" borderId="6" xfId="2" applyNumberFormat="1" applyBorder="1" applyAlignment="1">
      <alignment horizontal="center" vertical="center" wrapText="1"/>
    </xf>
    <xf numFmtId="0" fontId="15" fillId="0" borderId="6" xfId="2" applyBorder="1" applyAlignment="1">
      <alignment horizontal="center" vertical="center" wrapText="1"/>
    </xf>
    <xf numFmtId="0" fontId="21" fillId="0" borderId="0" xfId="2" applyFont="1" applyAlignment="1">
      <alignment horizontal="left" vertical="center" wrapText="1"/>
    </xf>
    <xf numFmtId="0" fontId="1" fillId="0" borderId="6" xfId="2" applyFont="1" applyBorder="1" applyAlignment="1">
      <alignment horizontal="center" vertical="center" wrapText="1"/>
    </xf>
    <xf numFmtId="176" fontId="1" fillId="0" borderId="6" xfId="2" applyNumberFormat="1" applyFont="1" applyBorder="1" applyAlignment="1">
      <alignment horizontal="center" vertical="center" wrapText="1"/>
    </xf>
    <xf numFmtId="0" fontId="0" fillId="0" borderId="0" xfId="0"/>
    <xf numFmtId="0" fontId="23" fillId="5" borderId="3" xfId="1" applyFont="1" applyFill="1" applyBorder="1" applyAlignment="1">
      <alignment vertical="center" wrapText="1"/>
    </xf>
    <xf numFmtId="0" fontId="12" fillId="5" borderId="4" xfId="1" applyFont="1" applyFill="1" applyBorder="1" applyAlignment="1">
      <alignment vertical="center" wrapText="1"/>
    </xf>
    <xf numFmtId="0" fontId="26" fillId="7" borderId="7" xfId="0" applyFont="1" applyFill="1" applyBorder="1" applyAlignment="1">
      <alignment horizontal="center"/>
    </xf>
    <xf numFmtId="0" fontId="26" fillId="0" borderId="7" xfId="0" applyFont="1" applyFill="1" applyBorder="1" applyAlignment="1">
      <alignment horizontal="center"/>
    </xf>
    <xf numFmtId="0" fontId="2" fillId="2" borderId="0" xfId="1" applyFont="1" applyFill="1" applyAlignment="1">
      <alignment horizontal="left" vertical="center"/>
    </xf>
    <xf numFmtId="0" fontId="3" fillId="0" borderId="0" xfId="1" applyFont="1"/>
    <xf numFmtId="0" fontId="0" fillId="0" borderId="0" xfId="0"/>
    <xf numFmtId="0" fontId="4" fillId="3" borderId="0" xfId="1" applyFont="1" applyFill="1" applyAlignment="1">
      <alignment vertical="center" wrapText="1"/>
    </xf>
    <xf numFmtId="0" fontId="16" fillId="6" borderId="0" xfId="2" applyFont="1" applyFill="1" applyAlignment="1">
      <alignment horizontal="left" vertical="center"/>
    </xf>
    <xf numFmtId="0" fontId="15" fillId="0" borderId="0" xfId="2"/>
    <xf numFmtId="0" fontId="17" fillId="4" borderId="0" xfId="2" applyFont="1" applyFill="1" applyAlignment="1">
      <alignment wrapText="1"/>
    </xf>
  </cellXfs>
  <cellStyles count="3">
    <cellStyle name="Normal" xfId="1" xr:uid="{00000000-0005-0000-0000-000000000000}"/>
    <cellStyle name="표준" xfId="0" builtinId="0"/>
    <cellStyle name="표준 2" xfId="2" xr:uid="{AC4F095F-89B2-4058-B983-967013B955E9}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7C9D6"/>
        </left>
        <right style="thin">
          <color rgb="FFB7C9D6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7C9D6"/>
        </left>
        <right style="thin">
          <color rgb="FFB7C9D6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7C9D6"/>
        </left>
        <right style="thin">
          <color rgb="FFB7C9D6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7C9D6"/>
        </left>
        <right style="thin">
          <color rgb="FFB7C9D6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7C9D6"/>
        </left>
        <right style="thin">
          <color rgb="FFB7C9D6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7C9D6"/>
        </left>
        <right style="thin">
          <color rgb="FFB7C9D6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7C9D6"/>
        </left>
        <right style="thin">
          <color rgb="FFB7C9D6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7C9D6"/>
        </left>
        <right style="thin">
          <color rgb="FFB7C9D6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7C9D6"/>
        </left>
        <right style="thin">
          <color rgb="FFB7C9D6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7C9D6"/>
        </left>
        <right style="thin">
          <color rgb="FFB7C9D6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7C9D6"/>
        </left>
        <right style="thin">
          <color rgb="FFB7C9D6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rgb="FFB7C9D6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7C9D6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7C9D6"/>
        </left>
        <right style="thin">
          <color rgb="FFB7C9D6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7C9D6"/>
        </left>
        <right style="thin">
          <color rgb="FFB7C9D6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7C9D6"/>
        </left>
        <right style="thin">
          <color rgb="FFB7C9D6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7C9D6"/>
        </left>
        <right style="thin">
          <color rgb="FFB7C9D6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7C9D6"/>
        </left>
        <right style="thin">
          <color rgb="FFB7C9D6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7C9D6"/>
        </left>
        <right style="thin">
          <color rgb="FFB7C9D6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7C9D6"/>
        </left>
        <right style="thin">
          <color rgb="FFB7C9D6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7C9D6"/>
        </left>
        <right style="thin">
          <color rgb="FFB7C9D6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7C9D6"/>
        </left>
        <right style="thin">
          <color rgb="FFB7C9D6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7C9D6"/>
        </left>
        <right style="thin">
          <color rgb="FFB7C9D6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7C9D6"/>
        </left>
        <right style="thin">
          <color rgb="FFB7C9D6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7C9D6"/>
        </left>
        <right style="thin">
          <color rgb="FFB7C9D6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7C9D6"/>
        </left>
        <right style="thin">
          <color rgb="FFB7C9D6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rgb="FFB7C9D6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7C9D6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7C9D6"/>
        </left>
        <right style="thin">
          <color rgb="FFB7C9D6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7C9D6"/>
        </left>
        <right style="thin">
          <color rgb="FFB7C9D6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7C9D6"/>
        </left>
        <right style="thin">
          <color rgb="FFB7C9D6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7C9D6"/>
        </left>
        <right style="thin">
          <color rgb="FFB7C9D6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7C9D6"/>
        </left>
        <right style="thin">
          <color rgb="FFB7C9D6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7C9D6"/>
        </left>
        <right style="thin">
          <color rgb="FFB7C9D6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7C9D6"/>
        </left>
        <right style="thin">
          <color rgb="FFB7C9D6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7C9D6"/>
        </left>
        <right style="thin">
          <color rgb="FFB7C9D6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7C9D6"/>
        </left>
        <right style="thin">
          <color rgb="FFB7C9D6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7C9D6"/>
        </left>
        <right style="thin">
          <color rgb="FFB7C9D6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rgb="FFB7C9D6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44277;&#51221;&#45936;&#51060;&#53552;_&#53685;&#44228;_&#44288;&#44228;&#48516;&#49437;_&#53596;&#54540;&#47551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_Data"/>
      <sheetName val="변수통계"/>
      <sheetName val="관계분석"/>
    </sheetNames>
    <sheetDataSet>
      <sheetData sheetId="0">
        <row r="1">
          <cell r="B1" t="str">
            <v>변수1</v>
          </cell>
          <cell r="C1" t="str">
            <v>변수2</v>
          </cell>
          <cell r="D1" t="str">
            <v>변수3</v>
          </cell>
          <cell r="E1" t="str">
            <v>변수4</v>
          </cell>
          <cell r="F1" t="str">
            <v>변수5</v>
          </cell>
          <cell r="G1" t="str">
            <v>변수6</v>
          </cell>
          <cell r="H1" t="str">
            <v>변수7</v>
          </cell>
          <cell r="I1" t="str">
            <v>변수8</v>
          </cell>
          <cell r="J1" t="str">
            <v>변수9</v>
          </cell>
          <cell r="K1" t="str">
            <v>변수10</v>
          </cell>
          <cell r="L1" t="str">
            <v>변수11</v>
          </cell>
          <cell r="M1" t="str">
            <v>변수12</v>
          </cell>
          <cell r="N1" t="str">
            <v>변수13</v>
          </cell>
          <cell r="O1" t="str">
            <v>변수14</v>
          </cell>
          <cell r="P1" t="str">
            <v>변수15</v>
          </cell>
          <cell r="Q1" t="str">
            <v>변수16</v>
          </cell>
          <cell r="R1" t="str">
            <v>변수17</v>
          </cell>
          <cell r="S1" t="str">
            <v>변수18</v>
          </cell>
          <cell r="T1" t="str">
            <v>변수19</v>
          </cell>
          <cell r="U1" t="str">
            <v>변수20</v>
          </cell>
          <cell r="V1" t="str">
            <v>변수21</v>
          </cell>
          <cell r="W1" t="str">
            <v>변수22</v>
          </cell>
          <cell r="X1" t="str">
            <v>변수23</v>
          </cell>
          <cell r="Y1" t="str">
            <v>변수24</v>
          </cell>
          <cell r="Z1" t="str">
            <v>변수25</v>
          </cell>
          <cell r="AA1" t="str">
            <v>변수26</v>
          </cell>
          <cell r="AB1" t="str">
            <v>변수27</v>
          </cell>
          <cell r="AC1" t="str">
            <v>변수28</v>
          </cell>
          <cell r="AD1" t="str">
            <v>변수29</v>
          </cell>
          <cell r="AE1" t="str">
            <v>변수30</v>
          </cell>
          <cell r="AF1" t="str">
            <v>변수31</v>
          </cell>
          <cell r="AG1" t="str">
            <v>변수32</v>
          </cell>
          <cell r="AH1" t="str">
            <v>변수33</v>
          </cell>
          <cell r="AI1" t="str">
            <v>변수34</v>
          </cell>
          <cell r="AJ1" t="str">
            <v>변수35</v>
          </cell>
          <cell r="AK1" t="str">
            <v>변수36</v>
          </cell>
          <cell r="AL1" t="str">
            <v>변수37</v>
          </cell>
          <cell r="AM1" t="str">
            <v>변수38</v>
          </cell>
          <cell r="AN1" t="str">
            <v>변수39</v>
          </cell>
          <cell r="AO1" t="str">
            <v>변수40</v>
          </cell>
          <cell r="AP1" t="str">
            <v>변수41</v>
          </cell>
          <cell r="AQ1" t="str">
            <v>변수42</v>
          </cell>
          <cell r="AR1" t="str">
            <v>변수43</v>
          </cell>
          <cell r="AS1" t="str">
            <v>변수44</v>
          </cell>
          <cell r="AT1" t="str">
            <v>변수45</v>
          </cell>
          <cell r="AU1" t="str">
            <v>변수46</v>
          </cell>
          <cell r="AV1" t="str">
            <v>변수47</v>
          </cell>
          <cell r="AW1" t="str">
            <v>변수48</v>
          </cell>
          <cell r="AX1" t="str">
            <v>변수49</v>
          </cell>
          <cell r="AY1" t="str">
            <v>변수50</v>
          </cell>
          <cell r="AZ1" t="str">
            <v>변수51</v>
          </cell>
          <cell r="BA1" t="str">
            <v>변수52</v>
          </cell>
          <cell r="BB1" t="str">
            <v>변수53</v>
          </cell>
          <cell r="BC1" t="str">
            <v>변수54</v>
          </cell>
          <cell r="BD1" t="str">
            <v>변수55</v>
          </cell>
          <cell r="BE1" t="str">
            <v>변수56</v>
          </cell>
          <cell r="BF1" t="str">
            <v>변수57</v>
          </cell>
          <cell r="BG1" t="str">
            <v>변수58</v>
          </cell>
          <cell r="BH1" t="str">
            <v>변수59</v>
          </cell>
          <cell r="BI1" t="str">
            <v>변수60</v>
          </cell>
          <cell r="BJ1" t="str">
            <v>변수61</v>
          </cell>
          <cell r="BK1" t="str">
            <v>변수62</v>
          </cell>
          <cell r="BL1" t="str">
            <v>변수63</v>
          </cell>
          <cell r="BM1" t="str">
            <v>변수64</v>
          </cell>
          <cell r="BN1" t="str">
            <v>변수65</v>
          </cell>
          <cell r="BO1" t="str">
            <v>변수66</v>
          </cell>
          <cell r="BP1" t="str">
            <v>변수67</v>
          </cell>
          <cell r="BQ1" t="str">
            <v>변수68</v>
          </cell>
          <cell r="BR1" t="str">
            <v>변수69</v>
          </cell>
          <cell r="BS1" t="str">
            <v>변수70</v>
          </cell>
          <cell r="BT1" t="str">
            <v>변수71</v>
          </cell>
          <cell r="BU1" t="str">
            <v>변수72</v>
          </cell>
          <cell r="BV1" t="str">
            <v>변수73</v>
          </cell>
          <cell r="BW1" t="str">
            <v>변수74</v>
          </cell>
          <cell r="BX1" t="str">
            <v>변수75</v>
          </cell>
          <cell r="BY1" t="str">
            <v>변수76</v>
          </cell>
          <cell r="BZ1" t="str">
            <v>변수77</v>
          </cell>
          <cell r="CA1" t="str">
            <v>변수78</v>
          </cell>
          <cell r="CB1" t="str">
            <v>변수79</v>
          </cell>
          <cell r="CC1" t="str">
            <v>변수80</v>
          </cell>
          <cell r="CD1" t="str">
            <v>변수81</v>
          </cell>
          <cell r="CE1" t="str">
            <v>변수82</v>
          </cell>
          <cell r="CF1" t="str">
            <v>변수83</v>
          </cell>
          <cell r="CG1" t="str">
            <v>변수84</v>
          </cell>
          <cell r="CH1" t="str">
            <v>변수85</v>
          </cell>
          <cell r="CI1" t="str">
            <v>변수86</v>
          </cell>
          <cell r="CJ1" t="str">
            <v>변수87</v>
          </cell>
          <cell r="CK1" t="str">
            <v>변수88</v>
          </cell>
          <cell r="CL1" t="str">
            <v>변수89</v>
          </cell>
          <cell r="CM1" t="str">
            <v>변수90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piTable" displayName="KpiTable" ref="A4:L12" totalsRowShown="0" dataDxfId="42" dataCellStyle="Normal">
  <autoFilter ref="A4:L12" xr:uid="{00000000-0009-0000-0100-000001000000}"/>
  <tableColumns count="12">
    <tableColumn id="1" xr3:uid="{00000000-0010-0000-0000-000001000000}" name="KPI_ID" dataDxfId="41" dataCellStyle="Normal"/>
    <tableColumn id="2" xr3:uid="{00000000-0010-0000-0000-000002000000}" name="KPI명" dataDxfId="40" dataCellStyle="Normal"/>
    <tableColumn id="3" xr3:uid="{00000000-0010-0000-0000-000003000000}" name="KPI 설명" dataDxfId="39" dataCellStyle="Normal"/>
    <tableColumn id="4" xr3:uid="{00000000-0010-0000-0000-000004000000}" name="관리 방향" dataDxfId="38" dataCellStyle="Normal"/>
    <tableColumn id="5" xr3:uid="{00000000-0010-0000-0000-000005000000}" name="관리 주기" dataDxfId="37" dataCellStyle="Normal"/>
    <tableColumn id="6" xr3:uid="{00000000-0010-0000-0000-000006000000}" name="단위" dataDxfId="36" dataCellStyle="Normal"/>
    <tableColumn id="7" xr3:uid="{00000000-0010-0000-0000-000007000000}" name="정상 기준/범위" dataDxfId="35" dataCellStyle="Normal"/>
    <tableColumn id="8" xr3:uid="{00000000-0010-0000-0000-000008000000}" name="경고 기준" dataDxfId="34" dataCellStyle="Normal"/>
    <tableColumn id="9" xr3:uid="{00000000-0010-0000-0000-000009000000}" name="이상 기준" dataDxfId="33" dataCellStyle="Normal"/>
    <tableColumn id="10" xr3:uid="{00000000-0010-0000-0000-00000A000000}" name="계산식" dataDxfId="32" dataCellStyle="Normal"/>
    <tableColumn id="11" xr3:uid="{00000000-0010-0000-0000-00000B000000}" name="원가 연결 여부" dataDxfId="31" dataCellStyle="Normal"/>
    <tableColumn id="12" xr3:uid="{00000000-0010-0000-0000-00000C000000}" name="비고" dataDxfId="30" dataCellStyle="Norm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ariableTable" displayName="VariableTable" ref="A4:O26" totalsRowShown="0" dataDxfId="29" dataCellStyle="Normal">
  <autoFilter ref="A4:O26" xr:uid="{00000000-0009-0000-0100-000002000000}"/>
  <tableColumns count="15">
    <tableColumn id="1" xr3:uid="{00000000-0010-0000-0100-000001000000}" name="변수_ID" dataDxfId="28" dataCellStyle="Normal"/>
    <tableColumn id="2" xr3:uid="{00000000-0010-0000-0100-000002000000}" name="변수명" dataDxfId="27" dataCellStyle="Normal"/>
    <tableColumn id="6" xr3:uid="{00000000-0010-0000-0100-000006000000}" name="단위" dataDxfId="26" dataCellStyle="Normal"/>
    <tableColumn id="7" xr3:uid="{00000000-0010-0000-0100-000007000000}" name="데이터 주기" dataDxfId="25" dataCellStyle="Normal"/>
    <tableColumn id="8" xr3:uid="{00000000-0010-0000-0100-000008000000}" name="데이터 형태" dataDxfId="24" dataCellStyle="Normal"/>
    <tableColumn id="13" xr3:uid="{00000000-0010-0000-0100-00000D000000}" name="계절/주기" dataDxfId="23" dataCellStyle="Normal"/>
    <tableColumn id="14" xr3:uid="{00000000-0010-0000-0100-00000E000000}" name="정상 상태 설명" dataDxfId="22" dataCellStyle="Normal"/>
    <tableColumn id="15" xr3:uid="{00000000-0010-0000-0100-00000F000000}" name="정상 범위(선택)" dataDxfId="21" dataCellStyle="Normal"/>
    <tableColumn id="16" xr3:uid="{00000000-0010-0000-0100-000010000000}" name="경고 범위(선택)" dataDxfId="20" dataCellStyle="Normal"/>
    <tableColumn id="17" xr3:uid="{00000000-0010-0000-0100-000011000000}" name="이상 범위(선택)" dataDxfId="19" dataCellStyle="Normal"/>
    <tableColumn id="18" xr3:uid="{00000000-0010-0000-0100-000012000000}" name="결측/센서 이상 형태" dataDxfId="18" dataCellStyle="Normal"/>
    <tableColumn id="23" xr3:uid="{3DC989E3-E25F-4E9C-B6B4-02BEC702BE2D}" name="KPI로도 사용 여부" dataDxfId="17" dataCellStyle="Normal"/>
    <tableColumn id="19" xr3:uid="{00000000-0010-0000-0100-000013000000}" name="계산식" dataDxfId="16" dataCellStyle="Normal"/>
    <tableColumn id="20" xr3:uid="{00000000-0010-0000-0100-000014000000}" name="필수 여부" dataDxfId="15" dataCellStyle="Normal"/>
    <tableColumn id="21" xr3:uid="{00000000-0010-0000-0100-000015000000}" name="보안 메모" dataDxfId="14" dataCellStyle="Norm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cenarioTable" displayName="ScenarioTable" ref="A4:L11" totalsRowShown="0" dataDxfId="12" dataCellStyle="Normal">
  <autoFilter ref="A4:L11" xr:uid="{00000000-0009-0000-0100-000004000000}"/>
  <tableColumns count="12">
    <tableColumn id="1" xr3:uid="{00000000-0010-0000-0300-000001000000}" name="시나리오_ID" dataDxfId="11" dataCellStyle="Normal"/>
    <tableColumn id="2" xr3:uid="{00000000-0010-0000-0300-000002000000}" name="이상 유형" dataDxfId="10" dataCellStyle="Normal"/>
    <tableColumn id="3" xr3:uid="{00000000-0010-0000-0300-000003000000}" name="발생 설비/공정(익명)" dataDxfId="9" dataCellStyle="Normal"/>
    <tableColumn id="4" xr3:uid="{00000000-0010-0000-0300-000004000000}" name="발생 조건" dataDxfId="8" dataCellStyle="Normal"/>
    <tableColumn id="5" xr3:uid="{00000000-0010-0000-0300-000005000000}" name="시작 변수_ID" dataDxfId="7" dataCellStyle="Normal"/>
    <tableColumn id="6" xr3:uid="{00000000-0010-0000-0300-000006000000}" name="초기 변화" dataDxfId="6" dataCellStyle="Normal"/>
    <tableColumn id="7" xr3:uid="{00000000-0010-0000-0300-000007000000}" name="후속 변화 순서" dataDxfId="5" dataCellStyle="Normal"/>
    <tableColumn id="8" xr3:uid="{00000000-0010-0000-0300-000008000000}" name="지속시간" dataDxfId="4" dataCellStyle="Normal"/>
    <tableColumn id="9" xr3:uid="{00000000-0010-0000-0300-000009000000}" name="심각도" dataDxfId="3" dataCellStyle="Normal"/>
    <tableColumn id="10" xr3:uid="{00000000-0010-0000-0300-00000A000000}" name="영향 KPI_ID" dataDxfId="2" dataCellStyle="Normal"/>
    <tableColumn id="11" xr3:uid="{00000000-0010-0000-0300-00000B000000}" name="원가 영향 방향" dataDxfId="1" dataCellStyle="Normal"/>
    <tableColumn id="12" xr3:uid="{00000000-0010-0000-0300-00000C000000}" name="권장 점검/조치" dataDxfId="0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EDA7B-5D8D-45B2-B8CD-48491054737D}">
  <dimension ref="B3:G33"/>
  <sheetViews>
    <sheetView tabSelected="1" zoomScale="85" zoomScaleNormal="85" workbookViewId="0">
      <selection activeCell="F6" sqref="F6"/>
    </sheetView>
  </sheetViews>
  <sheetFormatPr defaultRowHeight="13.8"/>
  <cols>
    <col min="1" max="2" width="8.796875" style="25"/>
    <col min="3" max="3" width="23.69921875" style="25" bestFit="1" customWidth="1"/>
    <col min="4" max="4" width="8.796875" style="25"/>
    <col min="5" max="5" width="28.8984375" style="25" bestFit="1" customWidth="1"/>
    <col min="8" max="16384" width="8.796875" style="25"/>
  </cols>
  <sheetData>
    <row r="3" spans="2:7" ht="17.399999999999999">
      <c r="B3" s="28" t="s">
        <v>402</v>
      </c>
      <c r="C3" s="28" t="s">
        <v>405</v>
      </c>
      <c r="D3" s="28" t="s">
        <v>404</v>
      </c>
      <c r="E3" s="28" t="s">
        <v>403</v>
      </c>
    </row>
    <row r="4" spans="2:7" ht="17.399999999999999">
      <c r="B4" s="29">
        <v>1</v>
      </c>
      <c r="C4" s="29" t="s">
        <v>407</v>
      </c>
      <c r="D4" s="29" t="s">
        <v>406</v>
      </c>
      <c r="E4" s="29"/>
    </row>
    <row r="5" spans="2:7" ht="17.399999999999999">
      <c r="B5" s="29">
        <v>2</v>
      </c>
      <c r="C5" s="29" t="s">
        <v>408</v>
      </c>
      <c r="D5" s="29" t="s">
        <v>406</v>
      </c>
      <c r="E5" s="29"/>
    </row>
    <row r="6" spans="2:7" ht="17.399999999999999">
      <c r="B6" s="29">
        <v>3</v>
      </c>
      <c r="C6" s="29" t="s">
        <v>409</v>
      </c>
      <c r="D6" s="29" t="s">
        <v>406</v>
      </c>
      <c r="E6" s="29"/>
    </row>
    <row r="7" spans="2:7" ht="17.399999999999999">
      <c r="B7" s="29">
        <v>4</v>
      </c>
      <c r="C7" s="29" t="s">
        <v>410</v>
      </c>
      <c r="D7" s="29" t="s">
        <v>406</v>
      </c>
      <c r="E7" s="29"/>
    </row>
    <row r="8" spans="2:7" ht="17.399999999999999">
      <c r="B8" s="29">
        <v>5</v>
      </c>
      <c r="C8" s="29" t="s">
        <v>411</v>
      </c>
      <c r="D8" s="29" t="s">
        <v>406</v>
      </c>
      <c r="E8" s="29"/>
    </row>
    <row r="9" spans="2:7" ht="17.399999999999999">
      <c r="B9" s="29">
        <v>6</v>
      </c>
      <c r="C9" s="29" t="s">
        <v>412</v>
      </c>
      <c r="D9" s="29" t="s">
        <v>406</v>
      </c>
      <c r="E9" s="29"/>
    </row>
    <row r="10" spans="2:7" ht="17.399999999999999">
      <c r="B10" s="29">
        <v>7</v>
      </c>
      <c r="C10" s="29" t="s">
        <v>413</v>
      </c>
      <c r="D10" s="29" t="s">
        <v>406</v>
      </c>
      <c r="E10" s="29"/>
      <c r="F10" s="25"/>
      <c r="G10" s="25"/>
    </row>
    <row r="11" spans="2:7" ht="17.399999999999999">
      <c r="B11" s="29">
        <v>8</v>
      </c>
      <c r="C11" s="29" t="s">
        <v>416</v>
      </c>
      <c r="D11" s="29" t="s">
        <v>415</v>
      </c>
      <c r="E11" s="29" t="s">
        <v>414</v>
      </c>
    </row>
    <row r="12" spans="2:7" ht="17.399999999999999">
      <c r="B12" s="29">
        <v>9</v>
      </c>
      <c r="C12" s="29" t="s">
        <v>417</v>
      </c>
      <c r="D12" s="29" t="s">
        <v>415</v>
      </c>
      <c r="E12" s="29" t="str">
        <f>+E32</f>
        <v>PR05-01 ; PR05-02 ; PR05-03</v>
      </c>
    </row>
    <row r="13" spans="2:7" ht="17.399999999999999">
      <c r="B13" s="29">
        <v>10</v>
      </c>
      <c r="C13" s="29" t="s">
        <v>418</v>
      </c>
      <c r="D13" s="29" t="s">
        <v>415</v>
      </c>
      <c r="E13" s="29"/>
    </row>
    <row r="14" spans="2:7" ht="17.399999999999999">
      <c r="B14" s="29">
        <v>11</v>
      </c>
      <c r="C14" s="29" t="s">
        <v>419</v>
      </c>
      <c r="D14" s="29" t="s">
        <v>415</v>
      </c>
      <c r="E14" s="29"/>
    </row>
    <row r="15" spans="2:7" ht="17.399999999999999">
      <c r="B15" s="29">
        <v>12</v>
      </c>
      <c r="C15" s="29" t="s">
        <v>420</v>
      </c>
      <c r="D15" s="29" t="s">
        <v>406</v>
      </c>
      <c r="E15" s="29"/>
    </row>
    <row r="16" spans="2:7" ht="17.399999999999999">
      <c r="B16" s="29">
        <v>13</v>
      </c>
      <c r="C16" s="29" t="s">
        <v>422</v>
      </c>
      <c r="D16" s="29" t="s">
        <v>415</v>
      </c>
      <c r="E16" s="29" t="s">
        <v>421</v>
      </c>
    </row>
    <row r="17" spans="2:5" ht="17.399999999999999">
      <c r="B17" s="29">
        <v>14</v>
      </c>
      <c r="C17" s="29" t="s">
        <v>424</v>
      </c>
      <c r="D17" s="29" t="s">
        <v>415</v>
      </c>
      <c r="E17" s="29" t="s">
        <v>423</v>
      </c>
    </row>
    <row r="18" spans="2:5" ht="17.399999999999999">
      <c r="B18" s="29">
        <v>15</v>
      </c>
      <c r="C18" s="29" t="s">
        <v>426</v>
      </c>
      <c r="D18" s="29" t="s">
        <v>415</v>
      </c>
      <c r="E18" s="29" t="s">
        <v>425</v>
      </c>
    </row>
    <row r="19" spans="2:5" ht="17.399999999999999">
      <c r="B19" s="29">
        <v>16</v>
      </c>
      <c r="C19" s="29" t="s">
        <v>428</v>
      </c>
      <c r="D19" s="29" t="s">
        <v>415</v>
      </c>
      <c r="E19" s="29" t="s">
        <v>427</v>
      </c>
    </row>
    <row r="20" spans="2:5" ht="17.399999999999999">
      <c r="B20" s="29">
        <v>17</v>
      </c>
      <c r="C20" s="29" t="s">
        <v>430</v>
      </c>
      <c r="D20" s="29" t="s">
        <v>415</v>
      </c>
      <c r="E20" s="29" t="s">
        <v>429</v>
      </c>
    </row>
    <row r="21" spans="2:5" ht="17.399999999999999">
      <c r="B21" s="29">
        <v>18</v>
      </c>
      <c r="C21" s="29" t="s">
        <v>432</v>
      </c>
      <c r="D21" s="29" t="s">
        <v>415</v>
      </c>
      <c r="E21" s="29" t="s">
        <v>431</v>
      </c>
    </row>
    <row r="22" spans="2:5" ht="17.399999999999999">
      <c r="B22" s="29">
        <v>19</v>
      </c>
      <c r="C22" s="29" t="s">
        <v>434</v>
      </c>
      <c r="D22" s="29" t="s">
        <v>433</v>
      </c>
      <c r="E22" s="29"/>
    </row>
    <row r="23" spans="2:5" ht="17.399999999999999">
      <c r="B23" s="29">
        <v>20</v>
      </c>
      <c r="C23" s="29" t="s">
        <v>435</v>
      </c>
      <c r="D23" s="29" t="s">
        <v>433</v>
      </c>
      <c r="E23" s="29"/>
    </row>
    <row r="24" spans="2:5" ht="17.399999999999999">
      <c r="B24" s="29">
        <v>21</v>
      </c>
      <c r="C24" s="29" t="s">
        <v>436</v>
      </c>
      <c r="D24" s="29" t="s">
        <v>433</v>
      </c>
      <c r="E24" s="29"/>
    </row>
    <row r="25" spans="2:5" ht="17.399999999999999">
      <c r="B25" s="29">
        <v>22</v>
      </c>
      <c r="C25" s="29" t="s">
        <v>438</v>
      </c>
      <c r="D25" s="29" t="s">
        <v>433</v>
      </c>
      <c r="E25" s="29" t="s">
        <v>437</v>
      </c>
    </row>
    <row r="26" spans="2:5" ht="17.399999999999999">
      <c r="B26" s="29">
        <v>23</v>
      </c>
      <c r="C26" s="29" t="s">
        <v>439</v>
      </c>
      <c r="D26" s="29" t="s">
        <v>433</v>
      </c>
      <c r="E26" s="29" t="s">
        <v>437</v>
      </c>
    </row>
    <row r="27" spans="2:5" ht="17.399999999999999">
      <c r="B27" s="29">
        <v>24</v>
      </c>
      <c r="C27" s="29" t="s">
        <v>440</v>
      </c>
      <c r="D27" s="29" t="s">
        <v>433</v>
      </c>
      <c r="E27" s="29" t="s">
        <v>437</v>
      </c>
    </row>
    <row r="28" spans="2:5" ht="17.399999999999999">
      <c r="B28" s="29">
        <v>25</v>
      </c>
      <c r="C28" s="29" t="s">
        <v>442</v>
      </c>
      <c r="D28" s="29" t="s">
        <v>433</v>
      </c>
      <c r="E28" s="29" t="s">
        <v>441</v>
      </c>
    </row>
    <row r="29" spans="2:5" ht="17.399999999999999">
      <c r="B29" s="29">
        <v>26</v>
      </c>
      <c r="C29" s="29" t="s">
        <v>443</v>
      </c>
      <c r="D29" s="29" t="s">
        <v>433</v>
      </c>
      <c r="E29" s="29" t="s">
        <v>441</v>
      </c>
    </row>
    <row r="30" spans="2:5" ht="17.399999999999999">
      <c r="B30" s="29">
        <v>27</v>
      </c>
      <c r="C30" s="29" t="s">
        <v>444</v>
      </c>
      <c r="D30" s="29" t="s">
        <v>433</v>
      </c>
      <c r="E30" s="29" t="s">
        <v>441</v>
      </c>
    </row>
    <row r="31" spans="2:5" ht="17.399999999999999">
      <c r="B31" s="29">
        <v>28</v>
      </c>
      <c r="C31" s="29" t="s">
        <v>445</v>
      </c>
      <c r="D31" s="29" t="s">
        <v>433</v>
      </c>
      <c r="E31" s="29" t="str">
        <f>+E20</f>
        <v>PR05-01</v>
      </c>
    </row>
    <row r="32" spans="2:5" ht="17.399999999999999">
      <c r="B32" s="29">
        <v>29</v>
      </c>
      <c r="C32" s="29" t="s">
        <v>447</v>
      </c>
      <c r="D32" s="29" t="s">
        <v>433</v>
      </c>
      <c r="E32" s="29" t="s">
        <v>446</v>
      </c>
    </row>
    <row r="33" spans="2:5" ht="17.399999999999999">
      <c r="B33" s="29">
        <v>30</v>
      </c>
      <c r="C33" s="29" t="s">
        <v>449</v>
      </c>
      <c r="D33" s="29" t="s">
        <v>433</v>
      </c>
      <c r="E33" s="29" t="s">
        <v>448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Z12"/>
  <sheetViews>
    <sheetView showGridLines="0" zoomScale="70" zoomScaleNormal="70" workbookViewId="0">
      <selection activeCell="C27" sqref="C27"/>
    </sheetView>
  </sheetViews>
  <sheetFormatPr defaultRowHeight="13.8"/>
  <cols>
    <col min="1" max="1" width="20.5" customWidth="1"/>
    <col min="2" max="2" width="18" customWidth="1"/>
    <col min="3" max="3" width="28" customWidth="1"/>
    <col min="4" max="4" width="16" customWidth="1"/>
    <col min="5" max="6" width="12" customWidth="1"/>
    <col min="7" max="9" width="22" customWidth="1"/>
    <col min="10" max="10" width="35" customWidth="1"/>
    <col min="11" max="11" width="16" customWidth="1"/>
    <col min="12" max="12" width="40.8984375" customWidth="1"/>
  </cols>
  <sheetData>
    <row r="1" spans="1:26" ht="28.05" customHeight="1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31.95" customHeight="1">
      <c r="A2" s="33" t="s">
        <v>54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26" ht="34.049999999999997" customHeight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81</v>
      </c>
      <c r="K4" s="2" t="s">
        <v>10</v>
      </c>
      <c r="L4" s="2" t="s">
        <v>11</v>
      </c>
    </row>
    <row r="5" spans="1:26" s="6" customFormat="1" ht="31.95" customHeight="1">
      <c r="A5" s="3" t="s">
        <v>313</v>
      </c>
      <c r="B5" s="10" t="s">
        <v>375</v>
      </c>
      <c r="C5" s="10" t="s">
        <v>375</v>
      </c>
      <c r="D5" s="4" t="s">
        <v>361</v>
      </c>
      <c r="E5" s="4" t="s">
        <v>14</v>
      </c>
      <c r="F5" s="4" t="s">
        <v>57</v>
      </c>
      <c r="G5" s="26" t="s">
        <v>376</v>
      </c>
      <c r="H5" s="8" t="s">
        <v>373</v>
      </c>
      <c r="I5" s="26" t="s">
        <v>374</v>
      </c>
      <c r="J5" s="4" t="s">
        <v>82</v>
      </c>
      <c r="K5" s="4" t="s">
        <v>15</v>
      </c>
      <c r="L5" s="27" t="s">
        <v>377</v>
      </c>
    </row>
    <row r="6" spans="1:26" s="6" customFormat="1" ht="31.95" customHeight="1">
      <c r="A6" s="3" t="s">
        <v>314</v>
      </c>
      <c r="B6" s="4" t="s">
        <v>321</v>
      </c>
      <c r="C6" s="4" t="s">
        <v>321</v>
      </c>
      <c r="D6" s="4" t="s">
        <v>13</v>
      </c>
      <c r="E6" s="4" t="s">
        <v>14</v>
      </c>
      <c r="F6" s="4" t="s">
        <v>61</v>
      </c>
      <c r="G6" s="4" t="s">
        <v>367</v>
      </c>
      <c r="H6" s="4" t="s">
        <v>367</v>
      </c>
      <c r="I6" s="4" t="s">
        <v>367</v>
      </c>
      <c r="J6" s="4" t="s">
        <v>82</v>
      </c>
      <c r="K6" s="4" t="s">
        <v>15</v>
      </c>
      <c r="L6" s="5"/>
    </row>
    <row r="7" spans="1:26" s="6" customFormat="1" ht="31.95" customHeight="1">
      <c r="A7" s="3" t="s">
        <v>315</v>
      </c>
      <c r="B7" s="4" t="s">
        <v>322</v>
      </c>
      <c r="C7" s="4" t="s">
        <v>322</v>
      </c>
      <c r="D7" s="4" t="s">
        <v>13</v>
      </c>
      <c r="E7" s="4" t="s">
        <v>14</v>
      </c>
      <c r="F7" s="4" t="s">
        <v>61</v>
      </c>
      <c r="G7" s="4" t="s">
        <v>367</v>
      </c>
      <c r="H7" s="4" t="s">
        <v>367</v>
      </c>
      <c r="I7" s="4" t="s">
        <v>367</v>
      </c>
      <c r="J7" s="4" t="s">
        <v>82</v>
      </c>
      <c r="K7" s="4" t="s">
        <v>15</v>
      </c>
      <c r="L7" s="5"/>
    </row>
    <row r="8" spans="1:26" s="6" customFormat="1" ht="31.95" customHeight="1">
      <c r="A8" s="3" t="s">
        <v>316</v>
      </c>
      <c r="B8" s="4" t="s">
        <v>323</v>
      </c>
      <c r="C8" s="4" t="s">
        <v>323</v>
      </c>
      <c r="D8" s="4" t="s">
        <v>13</v>
      </c>
      <c r="E8" s="4" t="s">
        <v>14</v>
      </c>
      <c r="F8" s="4" t="s">
        <v>61</v>
      </c>
      <c r="G8" s="4" t="s">
        <v>367</v>
      </c>
      <c r="H8" s="4" t="s">
        <v>367</v>
      </c>
      <c r="I8" s="4" t="s">
        <v>367</v>
      </c>
      <c r="J8" s="4" t="s">
        <v>82</v>
      </c>
      <c r="K8" s="4" t="s">
        <v>15</v>
      </c>
      <c r="L8" s="5"/>
    </row>
    <row r="9" spans="1:26" s="6" customFormat="1" ht="31.95" customHeight="1">
      <c r="A9" s="3" t="s">
        <v>317</v>
      </c>
      <c r="B9" s="4" t="s">
        <v>324</v>
      </c>
      <c r="C9" s="4" t="s">
        <v>324</v>
      </c>
      <c r="D9" s="4" t="s">
        <v>13</v>
      </c>
      <c r="E9" s="4" t="s">
        <v>14</v>
      </c>
      <c r="F9" s="4" t="s">
        <v>62</v>
      </c>
      <c r="G9" s="4" t="s">
        <v>364</v>
      </c>
      <c r="H9" s="8" t="s">
        <v>366</v>
      </c>
      <c r="I9" s="8" t="s">
        <v>365</v>
      </c>
      <c r="J9" s="4" t="s">
        <v>83</v>
      </c>
      <c r="K9" s="4" t="s">
        <v>15</v>
      </c>
      <c r="L9" s="5"/>
    </row>
    <row r="10" spans="1:26" s="6" customFormat="1" ht="31.95" customHeight="1">
      <c r="A10" s="3" t="s">
        <v>318</v>
      </c>
      <c r="B10" s="4" t="s">
        <v>325</v>
      </c>
      <c r="C10" s="4" t="s">
        <v>325</v>
      </c>
      <c r="D10" s="4" t="s">
        <v>13</v>
      </c>
      <c r="E10" s="4" t="s">
        <v>14</v>
      </c>
      <c r="F10" s="4" t="s">
        <v>62</v>
      </c>
      <c r="G10" s="4" t="s">
        <v>364</v>
      </c>
      <c r="H10" s="8" t="s">
        <v>366</v>
      </c>
      <c r="I10" s="8" t="s">
        <v>365</v>
      </c>
      <c r="J10" s="4" t="s">
        <v>84</v>
      </c>
      <c r="K10" s="4" t="s">
        <v>15</v>
      </c>
      <c r="L10" s="5"/>
    </row>
    <row r="11" spans="1:26" s="6" customFormat="1" ht="31.95" customHeight="1">
      <c r="A11" s="3" t="s">
        <v>319</v>
      </c>
      <c r="B11" s="4" t="s">
        <v>326</v>
      </c>
      <c r="C11" s="4" t="s">
        <v>326</v>
      </c>
      <c r="D11" s="4" t="s">
        <v>13</v>
      </c>
      <c r="E11" s="4" t="s">
        <v>14</v>
      </c>
      <c r="F11" s="4" t="s">
        <v>62</v>
      </c>
      <c r="G11" s="4" t="s">
        <v>364</v>
      </c>
      <c r="H11" s="8" t="s">
        <v>366</v>
      </c>
      <c r="I11" s="8" t="s">
        <v>365</v>
      </c>
      <c r="J11" s="4" t="s">
        <v>85</v>
      </c>
      <c r="K11" s="4" t="s">
        <v>15</v>
      </c>
      <c r="L11" s="5"/>
    </row>
    <row r="12" spans="1:26" s="6" customFormat="1" ht="31.95" customHeight="1">
      <c r="A12" s="3" t="s">
        <v>320</v>
      </c>
      <c r="B12" s="4" t="s">
        <v>327</v>
      </c>
      <c r="C12" s="4" t="s">
        <v>327</v>
      </c>
      <c r="D12" s="4" t="s">
        <v>60</v>
      </c>
      <c r="E12" s="4" t="s">
        <v>14</v>
      </c>
      <c r="F12" s="4" t="s">
        <v>63</v>
      </c>
      <c r="G12" s="8" t="s">
        <v>368</v>
      </c>
      <c r="H12" s="8" t="s">
        <v>370</v>
      </c>
      <c r="I12" s="4" t="s">
        <v>369</v>
      </c>
      <c r="J12" s="4" t="s">
        <v>82</v>
      </c>
      <c r="K12" s="4" t="s">
        <v>64</v>
      </c>
      <c r="L12" s="27" t="s">
        <v>382</v>
      </c>
    </row>
  </sheetData>
  <mergeCells count="2">
    <mergeCell ref="A1:Z1"/>
    <mergeCell ref="A2:Z2"/>
  </mergeCells>
  <phoneticPr fontId="8" type="noConversion"/>
  <dataValidations count="2">
    <dataValidation type="list" sqref="D5:D198" xr:uid="{00000000-0002-0000-0100-000000000000}">
      <formula1>"높을수록 좋음,낮을수록 좋음,목표범위 유지,변동 최소화"</formula1>
    </dataValidation>
    <dataValidation type="list" sqref="K5:K198" xr:uid="{00000000-0002-0000-0100-000001000000}">
      <formula1>"예,아니오,미정"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T26"/>
  <sheetViews>
    <sheetView showGridLines="0" zoomScale="55" zoomScaleNormal="55" workbookViewId="0">
      <pane xSplit="2" ySplit="4" topLeftCell="E5" activePane="bottomRight" state="frozen"/>
      <selection activeCell="C20" sqref="C20"/>
      <selection pane="topRight" activeCell="C20" sqref="C20"/>
      <selection pane="bottomLeft" activeCell="C20" sqref="C20"/>
      <selection pane="bottomRight" activeCell="F7" sqref="F7"/>
    </sheetView>
  </sheetViews>
  <sheetFormatPr defaultRowHeight="13.8"/>
  <cols>
    <col min="1" max="1" width="23.3984375" customWidth="1"/>
    <col min="2" max="2" width="18" customWidth="1"/>
    <col min="3" max="3" width="16.5" bestFit="1" customWidth="1"/>
    <col min="4" max="4" width="12" customWidth="1"/>
    <col min="5" max="5" width="14" customWidth="1"/>
    <col min="6" max="6" width="18" customWidth="1"/>
    <col min="7" max="7" width="22" customWidth="1"/>
    <col min="8" max="10" width="18" customWidth="1"/>
    <col min="11" max="11" width="22" customWidth="1"/>
    <col min="12" max="12" width="22" style="6" customWidth="1"/>
    <col min="13" max="13" width="63.09765625" customWidth="1"/>
    <col min="14" max="14" width="12" customWidth="1"/>
    <col min="15" max="15" width="24" customWidth="1"/>
  </cols>
  <sheetData>
    <row r="1" spans="1:20" ht="28.05" customHeight="1">
      <c r="A1" s="30" t="s">
        <v>16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2"/>
      <c r="Q1" s="32"/>
      <c r="R1" s="32"/>
      <c r="S1" s="32"/>
      <c r="T1" s="32"/>
    </row>
    <row r="2" spans="1:20" ht="31.95" customHeight="1">
      <c r="A2" s="33" t="s">
        <v>55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2"/>
      <c r="Q2" s="32"/>
      <c r="R2" s="32"/>
      <c r="S2" s="32"/>
      <c r="T2" s="32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</row>
    <row r="4" spans="1:20" ht="34.049999999999997" customHeight="1">
      <c r="A4" s="2" t="s">
        <v>17</v>
      </c>
      <c r="B4" s="2" t="s">
        <v>18</v>
      </c>
      <c r="C4" s="2" t="s">
        <v>6</v>
      </c>
      <c r="D4" s="2" t="s">
        <v>19</v>
      </c>
      <c r="E4" s="2" t="s">
        <v>20</v>
      </c>
      <c r="F4" s="2" t="s">
        <v>22</v>
      </c>
      <c r="G4" s="2" t="s">
        <v>23</v>
      </c>
      <c r="H4" s="2" t="s">
        <v>24</v>
      </c>
      <c r="I4" s="2" t="s">
        <v>25</v>
      </c>
      <c r="J4" s="2" t="s">
        <v>26</v>
      </c>
      <c r="K4" s="2" t="s">
        <v>27</v>
      </c>
      <c r="L4" s="9" t="s">
        <v>65</v>
      </c>
      <c r="M4" s="2" t="s">
        <v>81</v>
      </c>
      <c r="N4" s="2" t="s">
        <v>28</v>
      </c>
      <c r="O4" s="2" t="s">
        <v>29</v>
      </c>
    </row>
    <row r="5" spans="1:20" ht="31.8" customHeight="1">
      <c r="A5" s="3" t="s">
        <v>328</v>
      </c>
      <c r="B5" s="4" t="s">
        <v>329</v>
      </c>
      <c r="C5" s="4" t="s">
        <v>61</v>
      </c>
      <c r="D5" s="4" t="s">
        <v>73</v>
      </c>
      <c r="E5" s="4" t="s">
        <v>31</v>
      </c>
      <c r="F5" s="4" t="s">
        <v>71</v>
      </c>
      <c r="G5" s="4" t="s">
        <v>70</v>
      </c>
      <c r="H5" s="4" t="s">
        <v>69</v>
      </c>
      <c r="I5" s="4" t="s">
        <v>69</v>
      </c>
      <c r="J5" s="4" t="s">
        <v>67</v>
      </c>
      <c r="K5" s="4"/>
      <c r="L5" s="4" t="s">
        <v>15</v>
      </c>
      <c r="M5" s="4" t="s">
        <v>82</v>
      </c>
      <c r="N5" s="4" t="s">
        <v>33</v>
      </c>
      <c r="O5" s="5"/>
    </row>
    <row r="6" spans="1:20" ht="31.8" customHeight="1">
      <c r="A6" s="3" t="s">
        <v>330</v>
      </c>
      <c r="B6" s="4" t="s">
        <v>331</v>
      </c>
      <c r="C6" s="4" t="s">
        <v>61</v>
      </c>
      <c r="D6" s="4" t="s">
        <v>73</v>
      </c>
      <c r="E6" s="4" t="s">
        <v>31</v>
      </c>
      <c r="F6" s="4" t="s">
        <v>71</v>
      </c>
      <c r="G6" s="4" t="s">
        <v>70</v>
      </c>
      <c r="H6" s="4" t="s">
        <v>69</v>
      </c>
      <c r="I6" s="4" t="s">
        <v>69</v>
      </c>
      <c r="J6" s="4" t="s">
        <v>67</v>
      </c>
      <c r="K6" s="4"/>
      <c r="L6" s="4" t="s">
        <v>15</v>
      </c>
      <c r="M6" s="4" t="s">
        <v>82</v>
      </c>
      <c r="N6" s="4" t="s">
        <v>33</v>
      </c>
      <c r="O6" s="5"/>
    </row>
    <row r="7" spans="1:20" ht="31.8" customHeight="1">
      <c r="A7" s="3" t="s">
        <v>332</v>
      </c>
      <c r="B7" s="4" t="s">
        <v>58</v>
      </c>
      <c r="C7" s="4" t="s">
        <v>462</v>
      </c>
      <c r="D7" s="4" t="s">
        <v>73</v>
      </c>
      <c r="E7" s="4" t="s">
        <v>31</v>
      </c>
      <c r="F7" s="4" t="s">
        <v>71</v>
      </c>
      <c r="G7" s="4" t="s">
        <v>70</v>
      </c>
      <c r="H7" s="4" t="s">
        <v>69</v>
      </c>
      <c r="I7" s="4" t="s">
        <v>69</v>
      </c>
      <c r="J7" s="4" t="s">
        <v>67</v>
      </c>
      <c r="K7" s="4"/>
      <c r="L7" s="4" t="s">
        <v>15</v>
      </c>
      <c r="M7" s="4" t="s">
        <v>87</v>
      </c>
      <c r="N7" s="4" t="s">
        <v>33</v>
      </c>
      <c r="O7" s="5"/>
    </row>
    <row r="8" spans="1:20" ht="31.8" customHeight="1">
      <c r="A8" s="3" t="s">
        <v>333</v>
      </c>
      <c r="B8" s="4" t="s">
        <v>59</v>
      </c>
      <c r="C8" s="4" t="s">
        <v>462</v>
      </c>
      <c r="D8" s="4" t="s">
        <v>73</v>
      </c>
      <c r="E8" s="4" t="s">
        <v>31</v>
      </c>
      <c r="F8" s="4" t="s">
        <v>71</v>
      </c>
      <c r="G8" s="4" t="s">
        <v>70</v>
      </c>
      <c r="H8" s="4" t="s">
        <v>69</v>
      </c>
      <c r="I8" s="4" t="s">
        <v>69</v>
      </c>
      <c r="J8" s="4" t="s">
        <v>67</v>
      </c>
      <c r="K8" s="4"/>
      <c r="L8" s="4" t="s">
        <v>15</v>
      </c>
      <c r="M8" s="4" t="s">
        <v>88</v>
      </c>
      <c r="N8" s="4" t="s">
        <v>33</v>
      </c>
      <c r="O8" s="5"/>
    </row>
    <row r="9" spans="1:20" ht="31.8" customHeight="1">
      <c r="A9" s="3" t="s">
        <v>334</v>
      </c>
      <c r="B9" s="4" t="s">
        <v>335</v>
      </c>
      <c r="C9" s="4" t="s">
        <v>74</v>
      </c>
      <c r="D9" s="4" t="s">
        <v>30</v>
      </c>
      <c r="E9" s="4" t="s">
        <v>31</v>
      </c>
      <c r="F9" s="4" t="s">
        <v>71</v>
      </c>
      <c r="G9" s="4" t="s">
        <v>70</v>
      </c>
      <c r="H9" s="4" t="s">
        <v>69</v>
      </c>
      <c r="I9" s="4" t="s">
        <v>69</v>
      </c>
      <c r="J9" s="4" t="s">
        <v>67</v>
      </c>
      <c r="K9" s="4" t="s">
        <v>80</v>
      </c>
      <c r="L9" s="4" t="s">
        <v>15</v>
      </c>
      <c r="M9" s="4" t="s">
        <v>82</v>
      </c>
      <c r="N9" s="4" t="s">
        <v>33</v>
      </c>
      <c r="O9" s="5"/>
    </row>
    <row r="10" spans="1:20" ht="31.8" customHeight="1">
      <c r="A10" s="3" t="s">
        <v>336</v>
      </c>
      <c r="B10" s="4" t="s">
        <v>337</v>
      </c>
      <c r="C10" s="4" t="s">
        <v>74</v>
      </c>
      <c r="D10" s="4" t="s">
        <v>30</v>
      </c>
      <c r="E10" s="4" t="s">
        <v>31</v>
      </c>
      <c r="F10" s="4" t="s">
        <v>71</v>
      </c>
      <c r="G10" s="4" t="s">
        <v>70</v>
      </c>
      <c r="H10" s="4" t="s">
        <v>69</v>
      </c>
      <c r="I10" s="4" t="s">
        <v>69</v>
      </c>
      <c r="J10" s="4" t="s">
        <v>67</v>
      </c>
      <c r="K10" s="4" t="s">
        <v>80</v>
      </c>
      <c r="L10" s="4" t="s">
        <v>15</v>
      </c>
      <c r="M10" s="4" t="s">
        <v>82</v>
      </c>
      <c r="N10" s="4" t="s">
        <v>33</v>
      </c>
      <c r="O10" s="5"/>
    </row>
    <row r="11" spans="1:20" ht="31.8" customHeight="1">
      <c r="A11" s="3" t="s">
        <v>338</v>
      </c>
      <c r="B11" s="4" t="s">
        <v>339</v>
      </c>
      <c r="C11" s="4" t="s">
        <v>74</v>
      </c>
      <c r="D11" s="4" t="s">
        <v>30</v>
      </c>
      <c r="E11" s="4" t="s">
        <v>31</v>
      </c>
      <c r="F11" s="4" t="s">
        <v>71</v>
      </c>
      <c r="G11" s="4" t="s">
        <v>70</v>
      </c>
      <c r="H11" s="4" t="s">
        <v>69</v>
      </c>
      <c r="I11" s="4" t="s">
        <v>69</v>
      </c>
      <c r="J11" s="4" t="s">
        <v>67</v>
      </c>
      <c r="K11" s="4" t="s">
        <v>80</v>
      </c>
      <c r="L11" s="4" t="s">
        <v>15</v>
      </c>
      <c r="M11" s="4" t="s">
        <v>82</v>
      </c>
      <c r="N11" s="4" t="s">
        <v>33</v>
      </c>
      <c r="O11" s="5"/>
    </row>
    <row r="12" spans="1:20" ht="31.8" customHeight="1">
      <c r="A12" s="3" t="s">
        <v>340</v>
      </c>
      <c r="B12" s="4" t="s">
        <v>341</v>
      </c>
      <c r="C12" s="4" t="s">
        <v>74</v>
      </c>
      <c r="D12" s="4" t="s">
        <v>30</v>
      </c>
      <c r="E12" s="4" t="s">
        <v>31</v>
      </c>
      <c r="F12" s="4" t="s">
        <v>71</v>
      </c>
      <c r="G12" s="4" t="s">
        <v>70</v>
      </c>
      <c r="H12" s="4" t="s">
        <v>69</v>
      </c>
      <c r="I12" s="4" t="s">
        <v>69</v>
      </c>
      <c r="J12" s="4" t="s">
        <v>67</v>
      </c>
      <c r="K12" s="4" t="s">
        <v>80</v>
      </c>
      <c r="L12" s="4" t="s">
        <v>15</v>
      </c>
      <c r="M12" s="4" t="s">
        <v>82</v>
      </c>
      <c r="N12" s="4" t="s">
        <v>33</v>
      </c>
      <c r="O12" s="5"/>
    </row>
    <row r="13" spans="1:20" ht="31.8" customHeight="1">
      <c r="A13" s="3" t="s">
        <v>342</v>
      </c>
      <c r="B13" s="4" t="s">
        <v>343</v>
      </c>
      <c r="C13" s="4" t="s">
        <v>74</v>
      </c>
      <c r="D13" s="4" t="s">
        <v>30</v>
      </c>
      <c r="E13" s="4" t="s">
        <v>31</v>
      </c>
      <c r="F13" s="4" t="s">
        <v>71</v>
      </c>
      <c r="G13" s="4" t="s">
        <v>70</v>
      </c>
      <c r="H13" s="4" t="s">
        <v>69</v>
      </c>
      <c r="I13" s="4" t="s">
        <v>69</v>
      </c>
      <c r="J13" s="4" t="s">
        <v>67</v>
      </c>
      <c r="K13" s="4" t="s">
        <v>80</v>
      </c>
      <c r="L13" s="4" t="s">
        <v>15</v>
      </c>
      <c r="M13" s="4" t="s">
        <v>82</v>
      </c>
      <c r="N13" s="4" t="s">
        <v>33</v>
      </c>
      <c r="O13" s="5"/>
    </row>
    <row r="14" spans="1:20" ht="31.8" customHeight="1">
      <c r="A14" s="3" t="s">
        <v>344</v>
      </c>
      <c r="B14" s="4" t="s">
        <v>345</v>
      </c>
      <c r="C14" s="4" t="s">
        <v>74</v>
      </c>
      <c r="D14" s="4" t="s">
        <v>30</v>
      </c>
      <c r="E14" s="4" t="s">
        <v>31</v>
      </c>
      <c r="F14" s="4" t="s">
        <v>71</v>
      </c>
      <c r="G14" s="4" t="s">
        <v>70</v>
      </c>
      <c r="H14" s="4" t="s">
        <v>69</v>
      </c>
      <c r="I14" s="4" t="s">
        <v>69</v>
      </c>
      <c r="J14" s="4" t="s">
        <v>67</v>
      </c>
      <c r="K14" s="4" t="s">
        <v>80</v>
      </c>
      <c r="L14" s="4" t="s">
        <v>15</v>
      </c>
      <c r="M14" s="4" t="s">
        <v>82</v>
      </c>
      <c r="N14" s="4" t="s">
        <v>33</v>
      </c>
      <c r="O14" s="5"/>
    </row>
    <row r="15" spans="1:20" ht="31.8" customHeight="1">
      <c r="A15" s="3" t="s">
        <v>346</v>
      </c>
      <c r="B15" s="4" t="s">
        <v>347</v>
      </c>
      <c r="C15" s="4" t="s">
        <v>56</v>
      </c>
      <c r="D15" s="4" t="s">
        <v>73</v>
      </c>
      <c r="E15" s="4" t="s">
        <v>31</v>
      </c>
      <c r="F15" s="4" t="s">
        <v>71</v>
      </c>
      <c r="G15" s="4" t="s">
        <v>70</v>
      </c>
      <c r="H15" s="4" t="s">
        <v>69</v>
      </c>
      <c r="I15" s="4" t="s">
        <v>69</v>
      </c>
      <c r="J15" s="4" t="s">
        <v>67</v>
      </c>
      <c r="K15" s="8" t="s">
        <v>68</v>
      </c>
      <c r="L15" s="10" t="s">
        <v>66</v>
      </c>
      <c r="M15" s="4" t="s">
        <v>82</v>
      </c>
      <c r="N15" s="4" t="s">
        <v>33</v>
      </c>
      <c r="O15" s="5"/>
    </row>
    <row r="16" spans="1:20" ht="31.8" customHeight="1">
      <c r="A16" s="3" t="s">
        <v>348</v>
      </c>
      <c r="B16" s="4" t="s">
        <v>349</v>
      </c>
      <c r="C16" s="4" t="s">
        <v>61</v>
      </c>
      <c r="D16" s="4" t="s">
        <v>73</v>
      </c>
      <c r="E16" s="4" t="s">
        <v>31</v>
      </c>
      <c r="F16" s="4" t="s">
        <v>71</v>
      </c>
      <c r="G16" s="4" t="s">
        <v>70</v>
      </c>
      <c r="H16" s="4" t="s">
        <v>69</v>
      </c>
      <c r="I16" s="4" t="s">
        <v>69</v>
      </c>
      <c r="J16" s="4" t="s">
        <v>67</v>
      </c>
      <c r="K16" s="8" t="s">
        <v>68</v>
      </c>
      <c r="L16" s="10" t="s">
        <v>66</v>
      </c>
      <c r="M16" s="4" t="s">
        <v>82</v>
      </c>
      <c r="N16" s="4" t="s">
        <v>33</v>
      </c>
      <c r="O16" s="5"/>
    </row>
    <row r="17" spans="1:15" ht="31.8" customHeight="1">
      <c r="A17" s="3" t="s">
        <v>350</v>
      </c>
      <c r="B17" s="10" t="s">
        <v>380</v>
      </c>
      <c r="C17" s="4" t="s">
        <v>56</v>
      </c>
      <c r="D17" s="4" t="s">
        <v>73</v>
      </c>
      <c r="E17" s="4" t="s">
        <v>31</v>
      </c>
      <c r="F17" s="4" t="s">
        <v>71</v>
      </c>
      <c r="G17" s="4" t="s">
        <v>70</v>
      </c>
      <c r="H17" s="4" t="s">
        <v>69</v>
      </c>
      <c r="I17" s="4" t="s">
        <v>69</v>
      </c>
      <c r="J17" s="4" t="s">
        <v>67</v>
      </c>
      <c r="K17" s="4"/>
      <c r="L17" s="10" t="s">
        <v>66</v>
      </c>
      <c r="M17" s="4" t="s">
        <v>82</v>
      </c>
      <c r="N17" s="4" t="s">
        <v>33</v>
      </c>
      <c r="O17" s="5"/>
    </row>
    <row r="18" spans="1:15" ht="31.8" customHeight="1">
      <c r="A18" s="3" t="s">
        <v>351</v>
      </c>
      <c r="B18" s="10" t="s">
        <v>461</v>
      </c>
      <c r="C18" s="4" t="s">
        <v>79</v>
      </c>
      <c r="D18" s="4" t="s">
        <v>30</v>
      </c>
      <c r="E18" s="4" t="s">
        <v>31</v>
      </c>
      <c r="F18" s="4" t="s">
        <v>71</v>
      </c>
      <c r="G18" s="4" t="s">
        <v>70</v>
      </c>
      <c r="H18" s="4" t="s">
        <v>69</v>
      </c>
      <c r="I18" s="4" t="s">
        <v>69</v>
      </c>
      <c r="J18" s="4" t="s">
        <v>67</v>
      </c>
      <c r="K18" s="4"/>
      <c r="L18" s="10" t="s">
        <v>66</v>
      </c>
      <c r="M18" s="4" t="s">
        <v>86</v>
      </c>
      <c r="N18" s="4" t="s">
        <v>33</v>
      </c>
      <c r="O18" s="5"/>
    </row>
    <row r="19" spans="1:15" ht="31.8" customHeight="1">
      <c r="A19" s="3" t="s">
        <v>352</v>
      </c>
      <c r="B19" s="10" t="s">
        <v>460</v>
      </c>
      <c r="C19" s="4" t="s">
        <v>75</v>
      </c>
      <c r="D19" s="4" t="s">
        <v>30</v>
      </c>
      <c r="E19" s="4" t="s">
        <v>31</v>
      </c>
      <c r="F19" s="4" t="s">
        <v>71</v>
      </c>
      <c r="G19" s="4" t="s">
        <v>70</v>
      </c>
      <c r="H19" s="4" t="s">
        <v>69</v>
      </c>
      <c r="I19" s="4" t="s">
        <v>69</v>
      </c>
      <c r="J19" s="4" t="s">
        <v>67</v>
      </c>
      <c r="K19" s="4"/>
      <c r="L19" s="10" t="s">
        <v>66</v>
      </c>
      <c r="M19" s="4" t="s">
        <v>82</v>
      </c>
      <c r="N19" s="4" t="s">
        <v>33</v>
      </c>
      <c r="O19" s="5"/>
    </row>
    <row r="20" spans="1:15" ht="31.8" customHeight="1">
      <c r="A20" s="3" t="s">
        <v>353</v>
      </c>
      <c r="B20" s="4" t="s">
        <v>354</v>
      </c>
      <c r="C20" s="4" t="s">
        <v>362</v>
      </c>
      <c r="D20" s="4" t="s">
        <v>30</v>
      </c>
      <c r="E20" s="4" t="s">
        <v>31</v>
      </c>
      <c r="F20" s="4" t="s">
        <v>71</v>
      </c>
      <c r="G20" s="4" t="s">
        <v>70</v>
      </c>
      <c r="H20" s="4" t="s">
        <v>69</v>
      </c>
      <c r="I20" s="4" t="s">
        <v>69</v>
      </c>
      <c r="J20" s="4" t="s">
        <v>67</v>
      </c>
      <c r="K20" s="4"/>
      <c r="L20" s="10" t="s">
        <v>66</v>
      </c>
      <c r="M20" s="4" t="s">
        <v>82</v>
      </c>
      <c r="N20" s="4" t="s">
        <v>33</v>
      </c>
      <c r="O20" s="5"/>
    </row>
    <row r="21" spans="1:15" ht="31.8" customHeight="1">
      <c r="A21" s="3" t="s">
        <v>355</v>
      </c>
      <c r="B21" s="4" t="s">
        <v>378</v>
      </c>
      <c r="C21" s="4" t="s">
        <v>76</v>
      </c>
      <c r="D21" s="4" t="s">
        <v>30</v>
      </c>
      <c r="E21" s="4" t="s">
        <v>31</v>
      </c>
      <c r="F21" s="4" t="s">
        <v>72</v>
      </c>
      <c r="G21" s="4" t="s">
        <v>70</v>
      </c>
      <c r="H21" s="4" t="s">
        <v>69</v>
      </c>
      <c r="I21" s="4" t="s">
        <v>69</v>
      </c>
      <c r="J21" s="4" t="s">
        <v>67</v>
      </c>
      <c r="K21" s="4"/>
      <c r="L21" s="10" t="s">
        <v>66</v>
      </c>
      <c r="M21" s="4" t="s">
        <v>82</v>
      </c>
      <c r="N21" s="4" t="s">
        <v>33</v>
      </c>
      <c r="O21" s="5"/>
    </row>
    <row r="22" spans="1:15" ht="31.8" customHeight="1">
      <c r="A22" s="3" t="s">
        <v>356</v>
      </c>
      <c r="B22" s="4" t="s">
        <v>379</v>
      </c>
      <c r="C22" s="4" t="s">
        <v>76</v>
      </c>
      <c r="D22" s="4" t="s">
        <v>30</v>
      </c>
      <c r="E22" s="4" t="s">
        <v>31</v>
      </c>
      <c r="F22" s="4" t="s">
        <v>72</v>
      </c>
      <c r="G22" s="4" t="s">
        <v>70</v>
      </c>
      <c r="H22" s="4" t="s">
        <v>69</v>
      </c>
      <c r="I22" s="4" t="s">
        <v>69</v>
      </c>
      <c r="J22" s="4" t="s">
        <v>67</v>
      </c>
      <c r="K22" s="4"/>
      <c r="L22" s="10" t="s">
        <v>66</v>
      </c>
      <c r="M22" s="4" t="s">
        <v>82</v>
      </c>
      <c r="N22" s="4" t="s">
        <v>33</v>
      </c>
      <c r="O22" s="5"/>
    </row>
    <row r="23" spans="1:15" ht="31.8" customHeight="1">
      <c r="A23" s="3" t="s">
        <v>357</v>
      </c>
      <c r="B23" s="10" t="s">
        <v>458</v>
      </c>
      <c r="C23" s="4" t="s">
        <v>77</v>
      </c>
      <c r="D23" s="4" t="s">
        <v>30</v>
      </c>
      <c r="E23" s="4" t="s">
        <v>31</v>
      </c>
      <c r="F23" s="4" t="s">
        <v>71</v>
      </c>
      <c r="G23" s="4" t="s">
        <v>70</v>
      </c>
      <c r="H23" s="4" t="s">
        <v>69</v>
      </c>
      <c r="I23" s="4" t="s">
        <v>69</v>
      </c>
      <c r="J23" s="4" t="s">
        <v>67</v>
      </c>
      <c r="K23" s="4"/>
      <c r="L23" s="10" t="s">
        <v>66</v>
      </c>
      <c r="M23" s="4" t="s">
        <v>82</v>
      </c>
      <c r="N23" s="4" t="s">
        <v>33</v>
      </c>
      <c r="O23" s="5"/>
    </row>
    <row r="24" spans="1:15" ht="31.8" customHeight="1">
      <c r="A24" s="3" t="s">
        <v>358</v>
      </c>
      <c r="B24" s="10" t="s">
        <v>459</v>
      </c>
      <c r="C24" s="4" t="s">
        <v>76</v>
      </c>
      <c r="D24" s="4" t="s">
        <v>30</v>
      </c>
      <c r="E24" s="4" t="s">
        <v>31</v>
      </c>
      <c r="F24" s="4" t="s">
        <v>71</v>
      </c>
      <c r="G24" s="4" t="s">
        <v>70</v>
      </c>
      <c r="H24" s="4" t="s">
        <v>69</v>
      </c>
      <c r="I24" s="4" t="s">
        <v>69</v>
      </c>
      <c r="J24" s="4" t="s">
        <v>67</v>
      </c>
      <c r="K24" s="4"/>
      <c r="L24" s="10" t="s">
        <v>66</v>
      </c>
      <c r="M24" s="4" t="s">
        <v>82</v>
      </c>
      <c r="N24" s="4" t="s">
        <v>33</v>
      </c>
      <c r="O24" s="5"/>
    </row>
    <row r="25" spans="1:15" ht="31.8" customHeight="1">
      <c r="A25" s="3" t="s">
        <v>359</v>
      </c>
      <c r="B25" s="8" t="s">
        <v>381</v>
      </c>
      <c r="C25" s="4" t="s">
        <v>75</v>
      </c>
      <c r="D25" s="4" t="s">
        <v>30</v>
      </c>
      <c r="E25" s="4" t="s">
        <v>31</v>
      </c>
      <c r="F25" s="4" t="s">
        <v>71</v>
      </c>
      <c r="G25" s="4" t="s">
        <v>70</v>
      </c>
      <c r="H25" s="4" t="s">
        <v>69</v>
      </c>
      <c r="I25" s="4" t="s">
        <v>69</v>
      </c>
      <c r="J25" s="4" t="s">
        <v>67</v>
      </c>
      <c r="K25" s="4"/>
      <c r="L25" s="10" t="s">
        <v>66</v>
      </c>
      <c r="M25" s="4" t="s">
        <v>82</v>
      </c>
      <c r="N25" s="4" t="s">
        <v>33</v>
      </c>
      <c r="O25" s="5"/>
    </row>
    <row r="26" spans="1:15" ht="31.8" customHeight="1">
      <c r="A26" s="3" t="s">
        <v>360</v>
      </c>
      <c r="B26" s="10" t="s">
        <v>363</v>
      </c>
      <c r="C26" s="4" t="s">
        <v>78</v>
      </c>
      <c r="D26" s="4" t="s">
        <v>30</v>
      </c>
      <c r="E26" s="4" t="s">
        <v>31</v>
      </c>
      <c r="F26" s="4" t="s">
        <v>71</v>
      </c>
      <c r="G26" s="4" t="s">
        <v>70</v>
      </c>
      <c r="H26" s="4" t="s">
        <v>69</v>
      </c>
      <c r="I26" s="4" t="s">
        <v>69</v>
      </c>
      <c r="J26" s="4" t="s">
        <v>67</v>
      </c>
      <c r="K26" s="4"/>
      <c r="L26" s="10" t="s">
        <v>66</v>
      </c>
      <c r="M26" s="4" t="s">
        <v>82</v>
      </c>
      <c r="N26" s="4" t="s">
        <v>33</v>
      </c>
      <c r="O26" s="5"/>
    </row>
  </sheetData>
  <mergeCells count="2">
    <mergeCell ref="A1:T1"/>
    <mergeCell ref="A2:T2"/>
  </mergeCells>
  <phoneticPr fontId="8" type="noConversion"/>
  <dataValidations count="5">
    <dataValidation type="list" sqref="L5:L26" xr:uid="{1279B388-2279-4B86-9CB5-6E2623E393EA}">
      <formula1>"예,아니오,미정"</formula1>
    </dataValidation>
    <dataValidation type="list" sqref="D5:D221" xr:uid="{00000000-0002-0000-0200-000001000000}">
      <formula1>"1분,10분,1시간,1일,이벤트,월별,모름"</formula1>
    </dataValidation>
    <dataValidation type="list" sqref="E5:E221" xr:uid="{00000000-0002-0000-0200-000002000000}">
      <formula1>"연속형,범주형,이벤트,텍스트"</formula1>
    </dataValidation>
    <dataValidation type="list" sqref="F5:F221" xr:uid="{00000000-0002-0000-0200-000007000000}">
      <formula1>"없음,일중,주간,월간,계절,모름"</formula1>
    </dataValidation>
    <dataValidation type="list" sqref="N5:N221" xr:uid="{00000000-0002-0000-0200-000008000000}">
      <formula1>"필수,선택,참고"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6FE68-269D-44A9-9F4F-376C57C60C17}">
  <sheetPr>
    <tabColor rgb="FFFFFF00"/>
  </sheetPr>
  <dimension ref="A1:I94"/>
  <sheetViews>
    <sheetView showGridLines="0" zoomScale="55" zoomScaleNormal="55" workbookViewId="0">
      <pane ySplit="4" topLeftCell="A5" activePane="bottomLeft" state="frozen"/>
      <selection activeCell="C20" sqref="C20"/>
      <selection pane="bottomLeft" activeCell="C37" sqref="C37"/>
    </sheetView>
  </sheetViews>
  <sheetFormatPr defaultRowHeight="14.4"/>
  <cols>
    <col min="1" max="1" width="22" style="11" customWidth="1"/>
    <col min="2" max="2" width="11" style="11" customWidth="1"/>
    <col min="3" max="3" width="17" style="11" customWidth="1"/>
    <col min="4" max="4" width="18" style="11" customWidth="1"/>
    <col min="5" max="5" width="15" style="11" customWidth="1"/>
    <col min="6" max="6" width="12" style="11" customWidth="1"/>
    <col min="7" max="7" width="20" style="11" customWidth="1"/>
    <col min="8" max="8" width="14" style="11" customWidth="1"/>
    <col min="9" max="9" width="28" style="11" customWidth="1"/>
    <col min="10" max="16384" width="8.796875" style="11"/>
  </cols>
  <sheetData>
    <row r="1" spans="1:9" ht="28.05" customHeight="1">
      <c r="A1" s="34" t="s">
        <v>89</v>
      </c>
      <c r="B1" s="35"/>
      <c r="C1" s="35"/>
      <c r="D1" s="35"/>
      <c r="E1" s="35"/>
      <c r="F1" s="35"/>
      <c r="G1" s="35"/>
      <c r="H1" s="35"/>
      <c r="I1" s="35"/>
    </row>
    <row r="2" spans="1:9" ht="15.6">
      <c r="A2" s="36" t="s">
        <v>90</v>
      </c>
      <c r="B2" s="35"/>
      <c r="C2" s="35"/>
      <c r="D2" s="35"/>
      <c r="E2" s="35"/>
      <c r="F2" s="35"/>
      <c r="G2" s="35"/>
      <c r="H2" s="35"/>
      <c r="I2" s="35"/>
    </row>
    <row r="4" spans="1:9" ht="34.950000000000003" customHeight="1" thickBot="1">
      <c r="A4" s="12" t="s">
        <v>18</v>
      </c>
      <c r="B4" s="12" t="s">
        <v>91</v>
      </c>
      <c r="C4" s="12" t="s">
        <v>92</v>
      </c>
      <c r="D4" s="12" t="s">
        <v>93</v>
      </c>
      <c r="E4" s="12" t="s">
        <v>94</v>
      </c>
      <c r="F4" s="12" t="s">
        <v>21</v>
      </c>
      <c r="G4" s="12" t="s">
        <v>95</v>
      </c>
      <c r="H4" s="12" t="s">
        <v>96</v>
      </c>
      <c r="I4" s="12" t="s">
        <v>11</v>
      </c>
    </row>
    <row r="5" spans="1:9" ht="17.399999999999999">
      <c r="A5" s="13" t="s">
        <v>313</v>
      </c>
      <c r="B5" s="15">
        <v>-0.69499999999999995</v>
      </c>
      <c r="C5" s="14" t="str">
        <f t="shared" ref="C5:C34" si="0">IF(A5="","",IF(OR(B5="판단불가",B5=""),"판단불가",IF(ABS(B5)&lt;=0.5,"대칭형",IF(B5&gt;0,"오른쪽 치우침","왼쪽 치우침"))))</f>
        <v>왼쪽 치우침</v>
      </c>
      <c r="D5" s="14" t="str">
        <f t="shared" ref="D5:D34" si="1">IF(A5="","",IF(OR(B5="판단불가",B5=""),"판단불가",IF(ABS(B5)&lt;=0.5,"없음",IF(ABS(B5)&lt;=1,IF(B5&gt;0,"오른쪽 약함","왼쪽 약함"),IF(B5&gt;0,"오른쪽 강함","왼쪽 강함")))))</f>
        <v>왼쪽 약함</v>
      </c>
      <c r="E5" s="16">
        <v>6.9000000000000006E-2</v>
      </c>
      <c r="F5" s="14" t="str">
        <f t="shared" ref="F5:F34" si="2">IF(A5="","",IF(OR(E5="판단불가",E5=""),"판단불가",IF(E5&lt;=0.1,"낮음",IF(E5&lt;=0.2,"중간","높음"))))</f>
        <v>낮음</v>
      </c>
      <c r="G5" s="16">
        <v>0</v>
      </c>
      <c r="H5" s="14" t="str">
        <f t="shared" ref="H5:H34" si="3">IF(A5="","",IF(OR(G5="판단불가",G5=""),"판단불가",IF(G5&lt;=0.05,"완만",IF(G5&lt;=0.1,"보통","빠름"))))</f>
        <v>완만</v>
      </c>
      <c r="I5" s="17"/>
    </row>
    <row r="6" spans="1:9" ht="17.399999999999999">
      <c r="A6" s="13" t="s">
        <v>314</v>
      </c>
      <c r="B6" s="15">
        <v>-0.89400000000000002</v>
      </c>
      <c r="C6" s="14" t="str">
        <f t="shared" si="0"/>
        <v>왼쪽 치우침</v>
      </c>
      <c r="D6" s="14" t="str">
        <f t="shared" si="1"/>
        <v>왼쪽 약함</v>
      </c>
      <c r="E6" s="16">
        <v>0.14499999999999999</v>
      </c>
      <c r="F6" s="14" t="str">
        <f t="shared" si="2"/>
        <v>중간</v>
      </c>
      <c r="G6" s="16">
        <v>0</v>
      </c>
      <c r="H6" s="14" t="str">
        <f t="shared" si="3"/>
        <v>완만</v>
      </c>
      <c r="I6" s="17"/>
    </row>
    <row r="7" spans="1:9" ht="17.399999999999999">
      <c r="A7" s="13" t="s">
        <v>315</v>
      </c>
      <c r="B7" s="15">
        <v>-1.7909999999999999</v>
      </c>
      <c r="C7" s="14" t="str">
        <f t="shared" si="0"/>
        <v>왼쪽 치우침</v>
      </c>
      <c r="D7" s="14" t="str">
        <f t="shared" si="1"/>
        <v>왼쪽 강함</v>
      </c>
      <c r="E7" s="16">
        <v>0.11600000000000001</v>
      </c>
      <c r="F7" s="14" t="str">
        <f t="shared" si="2"/>
        <v>중간</v>
      </c>
      <c r="G7" s="16">
        <v>0</v>
      </c>
      <c r="H7" s="14" t="str">
        <f t="shared" si="3"/>
        <v>완만</v>
      </c>
      <c r="I7" s="17"/>
    </row>
    <row r="8" spans="1:9" ht="17.399999999999999">
      <c r="A8" s="13" t="s">
        <v>316</v>
      </c>
      <c r="B8" s="15">
        <v>17.989999999999998</v>
      </c>
      <c r="C8" s="14" t="str">
        <f t="shared" si="0"/>
        <v>오른쪽 치우침</v>
      </c>
      <c r="D8" s="14" t="str">
        <f t="shared" si="1"/>
        <v>오른쪽 강함</v>
      </c>
      <c r="E8" s="16">
        <v>4.5220000000000002</v>
      </c>
      <c r="F8" s="14" t="str">
        <f t="shared" si="2"/>
        <v>높음</v>
      </c>
      <c r="G8" s="16">
        <v>0</v>
      </c>
      <c r="H8" s="14" t="str">
        <f t="shared" si="3"/>
        <v>완만</v>
      </c>
      <c r="I8" s="17"/>
    </row>
    <row r="9" spans="1:9" ht="17.399999999999999">
      <c r="A9" s="13" t="s">
        <v>317</v>
      </c>
      <c r="B9" s="15">
        <v>0.17100000000000001</v>
      </c>
      <c r="C9" s="14" t="str">
        <f t="shared" si="0"/>
        <v>대칭형</v>
      </c>
      <c r="D9" s="14" t="str">
        <f t="shared" si="1"/>
        <v>없음</v>
      </c>
      <c r="E9" s="16">
        <v>0.106</v>
      </c>
      <c r="F9" s="14" t="str">
        <f t="shared" si="2"/>
        <v>중간</v>
      </c>
      <c r="G9" s="16">
        <v>0</v>
      </c>
      <c r="H9" s="14" t="str">
        <f t="shared" si="3"/>
        <v>완만</v>
      </c>
      <c r="I9" s="17"/>
    </row>
    <row r="10" spans="1:9" ht="17.399999999999999">
      <c r="A10" s="13" t="s">
        <v>318</v>
      </c>
      <c r="B10" s="15">
        <v>-1.1379999999999999</v>
      </c>
      <c r="C10" s="14" t="str">
        <f t="shared" si="0"/>
        <v>왼쪽 치우침</v>
      </c>
      <c r="D10" s="14" t="str">
        <f t="shared" si="1"/>
        <v>왼쪽 강함</v>
      </c>
      <c r="E10" s="16">
        <v>8.4000000000000005E-2</v>
      </c>
      <c r="F10" s="14" t="str">
        <f t="shared" si="2"/>
        <v>낮음</v>
      </c>
      <c r="G10" s="16">
        <v>0</v>
      </c>
      <c r="H10" s="14" t="str">
        <f t="shared" si="3"/>
        <v>완만</v>
      </c>
      <c r="I10" s="17"/>
    </row>
    <row r="11" spans="1:9" ht="17.399999999999999">
      <c r="A11" s="13" t="s">
        <v>319</v>
      </c>
      <c r="B11" s="15">
        <v>17.957999999999998</v>
      </c>
      <c r="C11" s="14" t="str">
        <f t="shared" si="0"/>
        <v>오른쪽 치우침</v>
      </c>
      <c r="D11" s="14" t="str">
        <f t="shared" si="1"/>
        <v>오른쪽 강함</v>
      </c>
      <c r="E11" s="16">
        <v>4.399</v>
      </c>
      <c r="F11" s="14" t="str">
        <f t="shared" si="2"/>
        <v>높음</v>
      </c>
      <c r="G11" s="16">
        <v>0</v>
      </c>
      <c r="H11" s="14" t="str">
        <f t="shared" si="3"/>
        <v>완만</v>
      </c>
      <c r="I11" s="17"/>
    </row>
    <row r="12" spans="1:9" ht="17.399999999999999">
      <c r="A12" s="13" t="s">
        <v>328</v>
      </c>
      <c r="B12" s="15" t="str">
        <f>IF(A12="","",IFERROR(SKEW(INDEX([1]Raw_Data!$B$2:$CM$1001,1,MATCH(A12,[1]Raw_Data!$B$1:$CM$1,0)):INDEX([1]Raw_Data!$B$2:$CM$1001,1000,MATCH(A12,[1]Raw_Data!$B$1:$CM$1,0))),"판단불가"))</f>
        <v>판단불가</v>
      </c>
      <c r="C12" s="14" t="str">
        <f t="shared" si="0"/>
        <v>판단불가</v>
      </c>
      <c r="D12" s="14" t="str">
        <f t="shared" si="1"/>
        <v>판단불가</v>
      </c>
      <c r="E12" s="16" t="str">
        <f>IF(A12="","",IFERROR(STDEV(INDEX([1]Raw_Data!$B$2:$CM$1001,1,MATCH(A12,[1]Raw_Data!$B$1:$CM$1,0)):INDEX([1]Raw_Data!$B$2:$CM$1001,1000,MATCH(A12,[1]Raw_Data!$B$1:$CM$1,0)))/ABS(AVERAGE(INDEX([1]Raw_Data!$B$2:$CM$1001,1,MATCH(A12,[1]Raw_Data!$B$1:$CM$1,0)):INDEX([1]Raw_Data!$B$2:$CM$1001,1000,MATCH(A12,[1]Raw_Data!$B$1:$CM$1,0)))),"판단불가"))</f>
        <v>판단불가</v>
      </c>
      <c r="F12" s="14" t="str">
        <f t="shared" si="2"/>
        <v>판단불가</v>
      </c>
      <c r="G12" s="16" t="str">
        <f>IF(A12="","",IFERROR(SUMPRODUCT(IFERROR(ABS((INDEX([1]Raw_Data!$B$3:$CM$1001,0,MATCH(A12,[1]Raw_Data!$B$1:$CM$1,0))-INDEX([1]Raw_Data!$B$2:$CM$1000,0,MATCH(A12,[1]Raw_Data!$B$1:$CM$1,0)))/INDEX([1]Raw_Data!$B$2:$CM$1000,0,MATCH(A12,[1]Raw_Data!$B$1:$CM$1,0))),0))/SUMPRODUCT(--ISNUMBER(INDEX([1]Raw_Data!$B$3:$CM$1001,0,MATCH(A12,[1]Raw_Data!$B$1:$CM$1,0))),--ISNUMBER(INDEX([1]Raw_Data!$B$2:$CM$1000,0,MATCH(A12,[1]Raw_Data!$B$1:$CM$1,0))),--(INDEX([1]Raw_Data!$B$2:$CM$1000,0,MATCH(A12,[1]Raw_Data!$B$1:$CM$1,0))&lt;&gt;0)),"판단불가"))</f>
        <v>판단불가</v>
      </c>
      <c r="H12" s="14" t="str">
        <f t="shared" si="3"/>
        <v>판단불가</v>
      </c>
      <c r="I12" s="17"/>
    </row>
    <row r="13" spans="1:9" ht="17.399999999999999">
      <c r="A13" s="13" t="s">
        <v>330</v>
      </c>
      <c r="B13" s="15" t="str">
        <f>IF(A13="","",IFERROR(SKEW(INDEX([1]Raw_Data!$B$2:$CM$1001,1,MATCH(A13,[1]Raw_Data!$B$1:$CM$1,0)):INDEX([1]Raw_Data!$B$2:$CM$1001,1000,MATCH(A13,[1]Raw_Data!$B$1:$CM$1,0))),"판단불가"))</f>
        <v>판단불가</v>
      </c>
      <c r="C13" s="14" t="str">
        <f t="shared" si="0"/>
        <v>판단불가</v>
      </c>
      <c r="D13" s="14" t="str">
        <f t="shared" si="1"/>
        <v>판단불가</v>
      </c>
      <c r="E13" s="16" t="str">
        <f>IF(A13="","",IFERROR(STDEV(INDEX([1]Raw_Data!$B$2:$CM$1001,1,MATCH(A13,[1]Raw_Data!$B$1:$CM$1,0)):INDEX([1]Raw_Data!$B$2:$CM$1001,1000,MATCH(A13,[1]Raw_Data!$B$1:$CM$1,0)))/ABS(AVERAGE(INDEX([1]Raw_Data!$B$2:$CM$1001,1,MATCH(A13,[1]Raw_Data!$B$1:$CM$1,0)):INDEX([1]Raw_Data!$B$2:$CM$1001,1000,MATCH(A13,[1]Raw_Data!$B$1:$CM$1,0)))),"판단불가"))</f>
        <v>판단불가</v>
      </c>
      <c r="F13" s="14" t="str">
        <f t="shared" si="2"/>
        <v>판단불가</v>
      </c>
      <c r="G13" s="16" t="str">
        <f>IF(A13="","",IFERROR(SUMPRODUCT(IFERROR(ABS((INDEX([1]Raw_Data!$B$3:$CM$1001,0,MATCH(A13,[1]Raw_Data!$B$1:$CM$1,0))-INDEX([1]Raw_Data!$B$2:$CM$1000,0,MATCH(A13,[1]Raw_Data!$B$1:$CM$1,0)))/INDEX([1]Raw_Data!$B$2:$CM$1000,0,MATCH(A13,[1]Raw_Data!$B$1:$CM$1,0))),0))/SUMPRODUCT(--ISNUMBER(INDEX([1]Raw_Data!$B$3:$CM$1001,0,MATCH(A13,[1]Raw_Data!$B$1:$CM$1,0))),--ISNUMBER(INDEX([1]Raw_Data!$B$2:$CM$1000,0,MATCH(A13,[1]Raw_Data!$B$1:$CM$1,0))),--(INDEX([1]Raw_Data!$B$2:$CM$1000,0,MATCH(A13,[1]Raw_Data!$B$1:$CM$1,0))&lt;&gt;0)),"판단불가"))</f>
        <v>판단불가</v>
      </c>
      <c r="H13" s="14" t="str">
        <f t="shared" si="3"/>
        <v>판단불가</v>
      </c>
      <c r="I13" s="17"/>
    </row>
    <row r="14" spans="1:9" ht="17.399999999999999">
      <c r="A14" s="13" t="s">
        <v>332</v>
      </c>
      <c r="B14" s="15" t="str">
        <f>IF(A14="","",IFERROR(SKEW(INDEX([1]Raw_Data!$B$2:$CM$1001,1,MATCH(A14,[1]Raw_Data!$B$1:$CM$1,0)):INDEX([1]Raw_Data!$B$2:$CM$1001,1000,MATCH(A14,[1]Raw_Data!$B$1:$CM$1,0))),"판단불가"))</f>
        <v>판단불가</v>
      </c>
      <c r="C14" s="14" t="str">
        <f t="shared" si="0"/>
        <v>판단불가</v>
      </c>
      <c r="D14" s="14" t="str">
        <f t="shared" si="1"/>
        <v>판단불가</v>
      </c>
      <c r="E14" s="16" t="str">
        <f>IF(A14="","",IFERROR(STDEV(INDEX([1]Raw_Data!$B$2:$CM$1001,1,MATCH(A14,[1]Raw_Data!$B$1:$CM$1,0)):INDEX([1]Raw_Data!$B$2:$CM$1001,1000,MATCH(A14,[1]Raw_Data!$B$1:$CM$1,0)))/ABS(AVERAGE(INDEX([1]Raw_Data!$B$2:$CM$1001,1,MATCH(A14,[1]Raw_Data!$B$1:$CM$1,0)):INDEX([1]Raw_Data!$B$2:$CM$1001,1000,MATCH(A14,[1]Raw_Data!$B$1:$CM$1,0)))),"판단불가"))</f>
        <v>판단불가</v>
      </c>
      <c r="F14" s="14" t="str">
        <f t="shared" si="2"/>
        <v>판단불가</v>
      </c>
      <c r="G14" s="16" t="str">
        <f>IF(A14="","",IFERROR(SUMPRODUCT(IFERROR(ABS((INDEX([1]Raw_Data!$B$3:$CM$1001,0,MATCH(A14,[1]Raw_Data!$B$1:$CM$1,0))-INDEX([1]Raw_Data!$B$2:$CM$1000,0,MATCH(A14,[1]Raw_Data!$B$1:$CM$1,0)))/INDEX([1]Raw_Data!$B$2:$CM$1000,0,MATCH(A14,[1]Raw_Data!$B$1:$CM$1,0))),0))/SUMPRODUCT(--ISNUMBER(INDEX([1]Raw_Data!$B$3:$CM$1001,0,MATCH(A14,[1]Raw_Data!$B$1:$CM$1,0))),--ISNUMBER(INDEX([1]Raw_Data!$B$2:$CM$1000,0,MATCH(A14,[1]Raw_Data!$B$1:$CM$1,0))),--(INDEX([1]Raw_Data!$B$2:$CM$1000,0,MATCH(A14,[1]Raw_Data!$B$1:$CM$1,0))&lt;&gt;0)),"판단불가"))</f>
        <v>판단불가</v>
      </c>
      <c r="H14" s="14" t="str">
        <f t="shared" si="3"/>
        <v>판단불가</v>
      </c>
      <c r="I14" s="17"/>
    </row>
    <row r="15" spans="1:9" ht="17.399999999999999">
      <c r="A15" s="13" t="s">
        <v>333</v>
      </c>
      <c r="B15" s="15" t="str">
        <f>IF(A15="","",IFERROR(SKEW(INDEX([1]Raw_Data!$B$2:$CM$1001,1,MATCH(A15,[1]Raw_Data!$B$1:$CM$1,0)):INDEX([1]Raw_Data!$B$2:$CM$1001,1000,MATCH(A15,[1]Raw_Data!$B$1:$CM$1,0))),"판단불가"))</f>
        <v>판단불가</v>
      </c>
      <c r="C15" s="14" t="str">
        <f t="shared" si="0"/>
        <v>판단불가</v>
      </c>
      <c r="D15" s="14" t="str">
        <f t="shared" si="1"/>
        <v>판단불가</v>
      </c>
      <c r="E15" s="16" t="str">
        <f>IF(A15="","",IFERROR(STDEV(INDEX([1]Raw_Data!$B$2:$CM$1001,1,MATCH(A15,[1]Raw_Data!$B$1:$CM$1,0)):INDEX([1]Raw_Data!$B$2:$CM$1001,1000,MATCH(A15,[1]Raw_Data!$B$1:$CM$1,0)))/ABS(AVERAGE(INDEX([1]Raw_Data!$B$2:$CM$1001,1,MATCH(A15,[1]Raw_Data!$B$1:$CM$1,0)):INDEX([1]Raw_Data!$B$2:$CM$1001,1000,MATCH(A15,[1]Raw_Data!$B$1:$CM$1,0)))),"판단불가"))</f>
        <v>판단불가</v>
      </c>
      <c r="F15" s="14" t="str">
        <f t="shared" si="2"/>
        <v>판단불가</v>
      </c>
      <c r="G15" s="16" t="str">
        <f>IF(A15="","",IFERROR(SUMPRODUCT(IFERROR(ABS((INDEX([1]Raw_Data!$B$3:$CM$1001,0,MATCH(A15,[1]Raw_Data!$B$1:$CM$1,0))-INDEX([1]Raw_Data!$B$2:$CM$1000,0,MATCH(A15,[1]Raw_Data!$B$1:$CM$1,0)))/INDEX([1]Raw_Data!$B$2:$CM$1000,0,MATCH(A15,[1]Raw_Data!$B$1:$CM$1,0))),0))/SUMPRODUCT(--ISNUMBER(INDEX([1]Raw_Data!$B$3:$CM$1001,0,MATCH(A15,[1]Raw_Data!$B$1:$CM$1,0))),--ISNUMBER(INDEX([1]Raw_Data!$B$2:$CM$1000,0,MATCH(A15,[1]Raw_Data!$B$1:$CM$1,0))),--(INDEX([1]Raw_Data!$B$2:$CM$1000,0,MATCH(A15,[1]Raw_Data!$B$1:$CM$1,0))&lt;&gt;0)),"판단불가"))</f>
        <v>판단불가</v>
      </c>
      <c r="H15" s="14" t="str">
        <f t="shared" si="3"/>
        <v>판단불가</v>
      </c>
      <c r="I15" s="17"/>
    </row>
    <row r="16" spans="1:9" ht="17.399999999999999">
      <c r="A16" s="13" t="s">
        <v>320</v>
      </c>
      <c r="B16" s="15">
        <v>1.518</v>
      </c>
      <c r="C16" s="14" t="str">
        <f t="shared" si="0"/>
        <v>오른쪽 치우침</v>
      </c>
      <c r="D16" s="14" t="str">
        <f t="shared" si="1"/>
        <v>오른쪽 강함</v>
      </c>
      <c r="E16" s="16">
        <v>0.23100000000000001</v>
      </c>
      <c r="F16" s="14" t="str">
        <f t="shared" si="2"/>
        <v>높음</v>
      </c>
      <c r="G16" s="16">
        <v>0</v>
      </c>
      <c r="H16" s="14" t="str">
        <f t="shared" si="3"/>
        <v>완만</v>
      </c>
      <c r="I16" s="17"/>
    </row>
    <row r="17" spans="1:9" ht="17.399999999999999">
      <c r="A17" s="13" t="s">
        <v>334</v>
      </c>
      <c r="B17" s="15">
        <v>0.35099999999999998</v>
      </c>
      <c r="C17" s="14" t="str">
        <f t="shared" si="0"/>
        <v>대칭형</v>
      </c>
      <c r="D17" s="14" t="str">
        <f t="shared" si="1"/>
        <v>없음</v>
      </c>
      <c r="E17" s="16">
        <v>0.46200000000000002</v>
      </c>
      <c r="F17" s="14" t="str">
        <f t="shared" si="2"/>
        <v>높음</v>
      </c>
      <c r="G17" s="16">
        <v>0</v>
      </c>
      <c r="H17" s="14" t="str">
        <f t="shared" si="3"/>
        <v>완만</v>
      </c>
      <c r="I17" s="17"/>
    </row>
    <row r="18" spans="1:9" ht="17.399999999999999">
      <c r="A18" s="13" t="s">
        <v>336</v>
      </c>
      <c r="B18" s="15">
        <v>0.88800000000000001</v>
      </c>
      <c r="C18" s="14" t="str">
        <f t="shared" si="0"/>
        <v>오른쪽 치우침</v>
      </c>
      <c r="D18" s="14" t="str">
        <f t="shared" si="1"/>
        <v>오른쪽 약함</v>
      </c>
      <c r="E18" s="16">
        <v>0.68600000000000005</v>
      </c>
      <c r="F18" s="14" t="str">
        <f t="shared" si="2"/>
        <v>높음</v>
      </c>
      <c r="G18" s="16">
        <v>0</v>
      </c>
      <c r="H18" s="14" t="str">
        <f t="shared" si="3"/>
        <v>완만</v>
      </c>
      <c r="I18" s="17"/>
    </row>
    <row r="19" spans="1:9" ht="17.399999999999999">
      <c r="A19" s="13" t="s">
        <v>338</v>
      </c>
      <c r="B19" s="15">
        <v>-3.5999999999999997E-2</v>
      </c>
      <c r="C19" s="14" t="str">
        <f t="shared" si="0"/>
        <v>대칭형</v>
      </c>
      <c r="D19" s="14" t="str">
        <f t="shared" si="1"/>
        <v>없음</v>
      </c>
      <c r="E19" s="16">
        <v>7.3999999999999996E-2</v>
      </c>
      <c r="F19" s="14" t="str">
        <f t="shared" si="2"/>
        <v>낮음</v>
      </c>
      <c r="G19" s="16">
        <v>0</v>
      </c>
      <c r="H19" s="14" t="str">
        <f t="shared" si="3"/>
        <v>완만</v>
      </c>
      <c r="I19" s="17"/>
    </row>
    <row r="20" spans="1:9" ht="17.399999999999999">
      <c r="A20" s="13" t="s">
        <v>340</v>
      </c>
      <c r="B20" s="15">
        <v>0.312</v>
      </c>
      <c r="C20" s="14" t="str">
        <f t="shared" si="0"/>
        <v>대칭형</v>
      </c>
      <c r="D20" s="14" t="str">
        <f t="shared" si="1"/>
        <v>없음</v>
      </c>
      <c r="E20" s="16">
        <v>6.6000000000000003E-2</v>
      </c>
      <c r="F20" s="14" t="str">
        <f t="shared" si="2"/>
        <v>낮음</v>
      </c>
      <c r="G20" s="16">
        <v>0</v>
      </c>
      <c r="H20" s="14" t="str">
        <f t="shared" si="3"/>
        <v>완만</v>
      </c>
      <c r="I20" s="17"/>
    </row>
    <row r="21" spans="1:9" ht="17.399999999999999">
      <c r="A21" s="13" t="s">
        <v>342</v>
      </c>
      <c r="B21" s="15">
        <v>-0.36099999999999999</v>
      </c>
      <c r="C21" s="14" t="str">
        <f t="shared" si="0"/>
        <v>대칭형</v>
      </c>
      <c r="D21" s="14" t="str">
        <f t="shared" si="1"/>
        <v>없음</v>
      </c>
      <c r="E21" s="16">
        <v>0.109</v>
      </c>
      <c r="F21" s="14" t="str">
        <f t="shared" si="2"/>
        <v>중간</v>
      </c>
      <c r="G21" s="16">
        <v>0</v>
      </c>
      <c r="H21" s="14" t="str">
        <f t="shared" si="3"/>
        <v>완만</v>
      </c>
      <c r="I21" s="17"/>
    </row>
    <row r="22" spans="1:9" ht="17.399999999999999">
      <c r="A22" s="13" t="s">
        <v>344</v>
      </c>
      <c r="B22" s="15">
        <v>0.317</v>
      </c>
      <c r="C22" s="14" t="str">
        <f t="shared" si="0"/>
        <v>대칭형</v>
      </c>
      <c r="D22" s="14" t="str">
        <f t="shared" si="1"/>
        <v>없음</v>
      </c>
      <c r="E22" s="16">
        <v>7.5999999999999998E-2</v>
      </c>
      <c r="F22" s="14" t="str">
        <f t="shared" si="2"/>
        <v>낮음</v>
      </c>
      <c r="G22" s="16">
        <v>0</v>
      </c>
      <c r="H22" s="14" t="str">
        <f t="shared" si="3"/>
        <v>완만</v>
      </c>
      <c r="I22" s="17"/>
    </row>
    <row r="23" spans="1:9" ht="17.399999999999999">
      <c r="A23" s="13" t="s">
        <v>346</v>
      </c>
      <c r="B23" s="15">
        <v>-2.91</v>
      </c>
      <c r="C23" s="14" t="str">
        <f t="shared" si="0"/>
        <v>왼쪽 치우침</v>
      </c>
      <c r="D23" s="14" t="str">
        <f t="shared" si="1"/>
        <v>왼쪽 강함</v>
      </c>
      <c r="E23" s="16">
        <v>0.105</v>
      </c>
      <c r="F23" s="14" t="str">
        <f t="shared" si="2"/>
        <v>중간</v>
      </c>
      <c r="G23" s="16">
        <v>0</v>
      </c>
      <c r="H23" s="14" t="str">
        <f t="shared" si="3"/>
        <v>완만</v>
      </c>
      <c r="I23" s="17"/>
    </row>
    <row r="24" spans="1:9" ht="17.399999999999999">
      <c r="A24" s="13" t="s">
        <v>348</v>
      </c>
      <c r="B24" s="15">
        <v>-3.1909999999999998</v>
      </c>
      <c r="C24" s="14" t="str">
        <f t="shared" si="0"/>
        <v>왼쪽 치우침</v>
      </c>
      <c r="D24" s="14" t="str">
        <f t="shared" si="1"/>
        <v>왼쪽 강함</v>
      </c>
      <c r="E24" s="16">
        <v>0.1</v>
      </c>
      <c r="F24" s="14" t="str">
        <f t="shared" si="2"/>
        <v>낮음</v>
      </c>
      <c r="G24" s="16">
        <v>0</v>
      </c>
      <c r="H24" s="14" t="str">
        <f t="shared" si="3"/>
        <v>완만</v>
      </c>
      <c r="I24" s="17"/>
    </row>
    <row r="25" spans="1:9" ht="17.399999999999999">
      <c r="A25" s="13" t="s">
        <v>350</v>
      </c>
      <c r="B25" s="15">
        <v>-7.8E-2</v>
      </c>
      <c r="C25" s="14" t="str">
        <f t="shared" si="0"/>
        <v>대칭형</v>
      </c>
      <c r="D25" s="14" t="str">
        <f t="shared" si="1"/>
        <v>없음</v>
      </c>
      <c r="E25" s="16">
        <v>3.3000000000000002E-2</v>
      </c>
      <c r="F25" s="14" t="str">
        <f t="shared" si="2"/>
        <v>낮음</v>
      </c>
      <c r="G25" s="16">
        <v>0</v>
      </c>
      <c r="H25" s="14" t="str">
        <f t="shared" si="3"/>
        <v>완만</v>
      </c>
      <c r="I25" s="17"/>
    </row>
    <row r="26" spans="1:9" ht="17.399999999999999">
      <c r="A26" s="13" t="s">
        <v>351</v>
      </c>
      <c r="B26" s="15" t="str">
        <f>IF(A26="","",IFERROR(SKEW(INDEX([1]Raw_Data!$B$2:$CM$1001,1,MATCH(A26,[1]Raw_Data!$B$1:$CM$1,0)):INDEX([1]Raw_Data!$B$2:$CM$1001,1000,MATCH(A26,[1]Raw_Data!$B$1:$CM$1,0))),"판단불가"))</f>
        <v>판단불가</v>
      </c>
      <c r="C26" s="14" t="str">
        <f t="shared" si="0"/>
        <v>판단불가</v>
      </c>
      <c r="D26" s="14" t="str">
        <f t="shared" si="1"/>
        <v>판단불가</v>
      </c>
      <c r="E26" s="16" t="str">
        <f>IF(A26="","",IFERROR(STDEV(INDEX([1]Raw_Data!$B$2:$CM$1001,1,MATCH(A26,[1]Raw_Data!$B$1:$CM$1,0)):INDEX([1]Raw_Data!$B$2:$CM$1001,1000,MATCH(A26,[1]Raw_Data!$B$1:$CM$1,0)))/ABS(AVERAGE(INDEX([1]Raw_Data!$B$2:$CM$1001,1,MATCH(A26,[1]Raw_Data!$B$1:$CM$1,0)):INDEX([1]Raw_Data!$B$2:$CM$1001,1000,MATCH(A26,[1]Raw_Data!$B$1:$CM$1,0)))),"판단불가"))</f>
        <v>판단불가</v>
      </c>
      <c r="F26" s="14" t="str">
        <f t="shared" si="2"/>
        <v>판단불가</v>
      </c>
      <c r="G26" s="16" t="str">
        <f>IF(A26="","",IFERROR(SUMPRODUCT(IFERROR(ABS((INDEX([1]Raw_Data!$B$3:$CM$1001,0,MATCH(A26,[1]Raw_Data!$B$1:$CM$1,0))-INDEX([1]Raw_Data!$B$2:$CM$1000,0,MATCH(A26,[1]Raw_Data!$B$1:$CM$1,0)))/INDEX([1]Raw_Data!$B$2:$CM$1000,0,MATCH(A26,[1]Raw_Data!$B$1:$CM$1,0))),0))/SUMPRODUCT(--ISNUMBER(INDEX([1]Raw_Data!$B$3:$CM$1001,0,MATCH(A26,[1]Raw_Data!$B$1:$CM$1,0))),--ISNUMBER(INDEX([1]Raw_Data!$B$2:$CM$1000,0,MATCH(A26,[1]Raw_Data!$B$1:$CM$1,0))),--(INDEX([1]Raw_Data!$B$2:$CM$1000,0,MATCH(A26,[1]Raw_Data!$B$1:$CM$1,0))&lt;&gt;0)),"판단불가"))</f>
        <v>판단불가</v>
      </c>
      <c r="H26" s="14" t="str">
        <f t="shared" si="3"/>
        <v>판단불가</v>
      </c>
      <c r="I26" s="17"/>
    </row>
    <row r="27" spans="1:9" ht="17.399999999999999">
      <c r="A27" s="13" t="s">
        <v>352</v>
      </c>
      <c r="B27" s="15">
        <v>-2.1230000000000002</v>
      </c>
      <c r="C27" s="14" t="str">
        <f t="shared" si="0"/>
        <v>왼쪽 치우침</v>
      </c>
      <c r="D27" s="14" t="str">
        <f t="shared" si="1"/>
        <v>왼쪽 강함</v>
      </c>
      <c r="E27" s="16">
        <v>7.1999999999999995E-2</v>
      </c>
      <c r="F27" s="14" t="str">
        <f t="shared" si="2"/>
        <v>낮음</v>
      </c>
      <c r="G27" s="16">
        <v>0</v>
      </c>
      <c r="H27" s="14" t="str">
        <f t="shared" si="3"/>
        <v>완만</v>
      </c>
      <c r="I27" s="17"/>
    </row>
    <row r="28" spans="1:9" ht="17.399999999999999">
      <c r="A28" s="13" t="s">
        <v>353</v>
      </c>
      <c r="B28" s="15">
        <v>0.111</v>
      </c>
      <c r="C28" s="14" t="str">
        <f t="shared" si="0"/>
        <v>대칭형</v>
      </c>
      <c r="D28" s="14" t="str">
        <f t="shared" si="1"/>
        <v>없음</v>
      </c>
      <c r="E28" s="16">
        <v>0.17499999999999999</v>
      </c>
      <c r="F28" s="14" t="str">
        <f t="shared" si="2"/>
        <v>중간</v>
      </c>
      <c r="G28" s="16">
        <v>0</v>
      </c>
      <c r="H28" s="14" t="str">
        <f t="shared" si="3"/>
        <v>완만</v>
      </c>
      <c r="I28" s="17"/>
    </row>
    <row r="29" spans="1:9" ht="17.399999999999999">
      <c r="A29" s="13" t="s">
        <v>355</v>
      </c>
      <c r="B29" s="15">
        <v>-3.7189999999999999</v>
      </c>
      <c r="C29" s="14" t="str">
        <f t="shared" si="0"/>
        <v>왼쪽 치우침</v>
      </c>
      <c r="D29" s="14" t="str">
        <f t="shared" si="1"/>
        <v>왼쪽 강함</v>
      </c>
      <c r="E29" s="16">
        <v>1.2999999999999999E-2</v>
      </c>
      <c r="F29" s="14" t="str">
        <f t="shared" si="2"/>
        <v>낮음</v>
      </c>
      <c r="G29" s="16">
        <v>0</v>
      </c>
      <c r="H29" s="14" t="str">
        <f t="shared" si="3"/>
        <v>완만</v>
      </c>
      <c r="I29" s="17"/>
    </row>
    <row r="30" spans="1:9" ht="17.399999999999999">
      <c r="A30" s="13" t="s">
        <v>356</v>
      </c>
      <c r="B30" s="15">
        <v>1.7709999999999999</v>
      </c>
      <c r="C30" s="14" t="str">
        <f t="shared" si="0"/>
        <v>오른쪽 치우침</v>
      </c>
      <c r="D30" s="14" t="str">
        <f t="shared" si="1"/>
        <v>오른쪽 강함</v>
      </c>
      <c r="E30" s="16">
        <v>6.0999999999999999E-2</v>
      </c>
      <c r="F30" s="14" t="str">
        <f t="shared" si="2"/>
        <v>낮음</v>
      </c>
      <c r="G30" s="16">
        <v>0</v>
      </c>
      <c r="H30" s="14" t="str">
        <f t="shared" si="3"/>
        <v>완만</v>
      </c>
      <c r="I30" s="17"/>
    </row>
    <row r="31" spans="1:9" ht="17.399999999999999">
      <c r="A31" s="13" t="s">
        <v>357</v>
      </c>
      <c r="B31" s="15">
        <v>0.88900000000000001</v>
      </c>
      <c r="C31" s="14" t="str">
        <f t="shared" si="0"/>
        <v>오른쪽 치우침</v>
      </c>
      <c r="D31" s="14" t="str">
        <f t="shared" si="1"/>
        <v>오른쪽 약함</v>
      </c>
      <c r="E31" s="16">
        <v>0.50900000000000001</v>
      </c>
      <c r="F31" s="14" t="str">
        <f t="shared" si="2"/>
        <v>높음</v>
      </c>
      <c r="G31" s="16">
        <v>0</v>
      </c>
      <c r="H31" s="14" t="str">
        <f t="shared" si="3"/>
        <v>완만</v>
      </c>
      <c r="I31" s="17"/>
    </row>
    <row r="32" spans="1:9" ht="17.399999999999999">
      <c r="A32" s="13" t="s">
        <v>358</v>
      </c>
      <c r="B32" s="15">
        <v>-0.92300000000000004</v>
      </c>
      <c r="C32" s="14" t="str">
        <f t="shared" si="0"/>
        <v>왼쪽 치우침</v>
      </c>
      <c r="D32" s="14" t="str">
        <f t="shared" si="1"/>
        <v>왼쪽 약함</v>
      </c>
      <c r="E32" s="16">
        <v>1.2999999999999999E-2</v>
      </c>
      <c r="F32" s="14" t="str">
        <f t="shared" si="2"/>
        <v>낮음</v>
      </c>
      <c r="G32" s="16">
        <v>0</v>
      </c>
      <c r="H32" s="14" t="str">
        <f t="shared" si="3"/>
        <v>완만</v>
      </c>
      <c r="I32" s="17"/>
    </row>
    <row r="33" spans="1:9" ht="17.399999999999999">
      <c r="A33" s="13" t="s">
        <v>359</v>
      </c>
      <c r="B33" s="15">
        <v>-1.1870000000000001</v>
      </c>
      <c r="C33" s="14" t="str">
        <f t="shared" si="0"/>
        <v>왼쪽 치우침</v>
      </c>
      <c r="D33" s="14" t="str">
        <f t="shared" si="1"/>
        <v>왼쪽 강함</v>
      </c>
      <c r="E33" s="16">
        <v>4.3999999999999997E-2</v>
      </c>
      <c r="F33" s="14" t="str">
        <f t="shared" si="2"/>
        <v>낮음</v>
      </c>
      <c r="G33" s="16">
        <v>0</v>
      </c>
      <c r="H33" s="14" t="str">
        <f t="shared" si="3"/>
        <v>완만</v>
      </c>
      <c r="I33" s="17"/>
    </row>
    <row r="34" spans="1:9" ht="17.399999999999999">
      <c r="A34" s="13" t="s">
        <v>360</v>
      </c>
      <c r="B34" s="15">
        <v>-6.8000000000000005E-2</v>
      </c>
      <c r="C34" s="14" t="str">
        <f t="shared" si="0"/>
        <v>대칭형</v>
      </c>
      <c r="D34" s="14" t="str">
        <f t="shared" si="1"/>
        <v>없음</v>
      </c>
      <c r="E34" s="16">
        <v>3.5999999999999997E-2</v>
      </c>
      <c r="F34" s="14" t="str">
        <f t="shared" si="2"/>
        <v>낮음</v>
      </c>
      <c r="G34" s="16">
        <v>0</v>
      </c>
      <c r="H34" s="14" t="str">
        <f t="shared" si="3"/>
        <v>완만</v>
      </c>
      <c r="I34" s="17"/>
    </row>
    <row r="35" spans="1:9" ht="17.399999999999999">
      <c r="A35" s="13"/>
      <c r="B35" s="15"/>
      <c r="C35" s="14"/>
      <c r="D35" s="14"/>
      <c r="E35" s="16"/>
      <c r="F35" s="14"/>
      <c r="G35" s="16"/>
      <c r="H35" s="14"/>
      <c r="I35" s="17"/>
    </row>
    <row r="36" spans="1:9" ht="17.399999999999999">
      <c r="A36" s="13"/>
      <c r="B36" s="15"/>
      <c r="C36" s="14"/>
      <c r="D36" s="14"/>
      <c r="E36" s="16"/>
      <c r="F36" s="14"/>
      <c r="G36" s="16"/>
      <c r="H36" s="14"/>
      <c r="I36" s="17"/>
    </row>
    <row r="37" spans="1:9" ht="17.399999999999999">
      <c r="A37" s="13"/>
      <c r="B37" s="15"/>
      <c r="C37" s="14"/>
      <c r="D37" s="14"/>
      <c r="E37" s="16"/>
      <c r="F37" s="14"/>
      <c r="G37" s="16"/>
      <c r="H37" s="14"/>
      <c r="I37" s="17"/>
    </row>
    <row r="38" spans="1:9" ht="17.399999999999999">
      <c r="A38" s="13"/>
      <c r="B38" s="15"/>
      <c r="C38" s="14"/>
      <c r="D38" s="14"/>
      <c r="E38" s="16"/>
      <c r="F38" s="14"/>
      <c r="G38" s="16"/>
      <c r="H38" s="14"/>
      <c r="I38" s="17"/>
    </row>
    <row r="39" spans="1:9" ht="17.399999999999999">
      <c r="A39" s="13"/>
      <c r="B39" s="15"/>
      <c r="C39" s="14"/>
      <c r="D39" s="14"/>
      <c r="E39" s="16"/>
      <c r="F39" s="14"/>
      <c r="G39" s="16"/>
      <c r="H39" s="14"/>
      <c r="I39" s="17"/>
    </row>
    <row r="40" spans="1:9" ht="17.399999999999999">
      <c r="A40" s="13"/>
      <c r="B40" s="15"/>
      <c r="C40" s="14"/>
      <c r="D40" s="14"/>
      <c r="E40" s="16"/>
      <c r="F40" s="14"/>
      <c r="G40" s="16"/>
      <c r="H40" s="14"/>
      <c r="I40" s="17"/>
    </row>
    <row r="41" spans="1:9" ht="17.399999999999999">
      <c r="A41" s="13"/>
      <c r="B41" s="15"/>
      <c r="C41" s="14"/>
      <c r="D41" s="14"/>
      <c r="E41" s="16"/>
      <c r="F41" s="14"/>
      <c r="G41" s="16"/>
      <c r="H41" s="14"/>
      <c r="I41" s="17"/>
    </row>
    <row r="42" spans="1:9" ht="17.399999999999999">
      <c r="A42" s="13"/>
      <c r="B42" s="15"/>
      <c r="C42" s="14"/>
      <c r="D42" s="14"/>
      <c r="E42" s="16"/>
      <c r="F42" s="14"/>
      <c r="G42" s="16"/>
      <c r="H42" s="14"/>
      <c r="I42" s="17"/>
    </row>
    <row r="43" spans="1:9" ht="17.399999999999999">
      <c r="A43" s="13"/>
      <c r="B43" s="15"/>
      <c r="C43" s="14"/>
      <c r="D43" s="14"/>
      <c r="E43" s="16"/>
      <c r="F43" s="14"/>
      <c r="G43" s="16"/>
      <c r="H43" s="14"/>
      <c r="I43" s="17"/>
    </row>
    <row r="44" spans="1:9" ht="17.399999999999999">
      <c r="A44" s="13"/>
      <c r="B44" s="15"/>
      <c r="C44" s="14"/>
      <c r="D44" s="14"/>
      <c r="E44" s="16"/>
      <c r="F44" s="14"/>
      <c r="G44" s="16"/>
      <c r="H44" s="14"/>
      <c r="I44" s="17"/>
    </row>
    <row r="45" spans="1:9" ht="17.399999999999999">
      <c r="A45" s="13"/>
      <c r="B45" s="15"/>
      <c r="C45" s="14"/>
      <c r="D45" s="14"/>
      <c r="E45" s="16"/>
      <c r="F45" s="14"/>
      <c r="G45" s="16"/>
      <c r="H45" s="14"/>
      <c r="I45" s="17"/>
    </row>
    <row r="46" spans="1:9" ht="17.399999999999999">
      <c r="A46" s="13"/>
      <c r="B46" s="15"/>
      <c r="C46" s="14"/>
      <c r="D46" s="14"/>
      <c r="E46" s="16"/>
      <c r="F46" s="14"/>
      <c r="G46" s="16"/>
      <c r="H46" s="14"/>
      <c r="I46" s="17"/>
    </row>
    <row r="47" spans="1:9" ht="17.399999999999999">
      <c r="A47" s="13"/>
      <c r="B47" s="15"/>
      <c r="C47" s="14"/>
      <c r="D47" s="14"/>
      <c r="E47" s="16"/>
      <c r="F47" s="14"/>
      <c r="G47" s="16"/>
      <c r="H47" s="14"/>
      <c r="I47" s="17"/>
    </row>
    <row r="48" spans="1:9" ht="17.399999999999999">
      <c r="A48" s="13"/>
      <c r="B48" s="15"/>
      <c r="C48" s="14"/>
      <c r="D48" s="14"/>
      <c r="E48" s="16"/>
      <c r="F48" s="14"/>
      <c r="G48" s="16"/>
      <c r="H48" s="14"/>
      <c r="I48" s="17"/>
    </row>
    <row r="49" spans="1:9" ht="17.399999999999999">
      <c r="A49" s="13"/>
      <c r="B49" s="15"/>
      <c r="C49" s="14"/>
      <c r="D49" s="14"/>
      <c r="E49" s="16"/>
      <c r="F49" s="14"/>
      <c r="G49" s="16"/>
      <c r="H49" s="14"/>
      <c r="I49" s="17"/>
    </row>
    <row r="50" spans="1:9" ht="17.399999999999999">
      <c r="A50" s="13"/>
      <c r="B50" s="15"/>
      <c r="C50" s="14"/>
      <c r="D50" s="14"/>
      <c r="E50" s="16"/>
      <c r="F50" s="14"/>
      <c r="G50" s="16"/>
      <c r="H50" s="14"/>
      <c r="I50" s="17"/>
    </row>
    <row r="51" spans="1:9" ht="17.399999999999999">
      <c r="A51" s="13"/>
      <c r="B51" s="15"/>
      <c r="C51" s="14"/>
      <c r="D51" s="14"/>
      <c r="E51" s="16"/>
      <c r="F51" s="14"/>
      <c r="G51" s="16"/>
      <c r="H51" s="14"/>
      <c r="I51" s="17"/>
    </row>
    <row r="52" spans="1:9" ht="17.399999999999999">
      <c r="A52" s="13"/>
      <c r="B52" s="15"/>
      <c r="C52" s="14"/>
      <c r="D52" s="14"/>
      <c r="E52" s="16"/>
      <c r="F52" s="14"/>
      <c r="G52" s="16"/>
      <c r="H52" s="14"/>
      <c r="I52" s="17"/>
    </row>
    <row r="53" spans="1:9" ht="17.399999999999999">
      <c r="A53" s="13"/>
      <c r="B53" s="15"/>
      <c r="C53" s="14"/>
      <c r="D53" s="14"/>
      <c r="E53" s="16"/>
      <c r="F53" s="14"/>
      <c r="G53" s="16"/>
      <c r="H53" s="14"/>
      <c r="I53" s="17"/>
    </row>
    <row r="54" spans="1:9" ht="17.399999999999999">
      <c r="A54" s="13"/>
      <c r="B54" s="15"/>
      <c r="C54" s="14"/>
      <c r="D54" s="14"/>
      <c r="E54" s="16"/>
      <c r="F54" s="14"/>
      <c r="G54" s="16"/>
      <c r="H54" s="14"/>
      <c r="I54" s="17"/>
    </row>
    <row r="55" spans="1:9" ht="17.399999999999999">
      <c r="A55" s="13"/>
      <c r="B55" s="15"/>
      <c r="C55" s="14"/>
      <c r="D55" s="14"/>
      <c r="E55" s="16"/>
      <c r="F55" s="14"/>
      <c r="G55" s="16"/>
      <c r="H55" s="14"/>
      <c r="I55" s="17"/>
    </row>
    <row r="56" spans="1:9" ht="17.399999999999999">
      <c r="A56" s="13"/>
      <c r="B56" s="15"/>
      <c r="C56" s="14"/>
      <c r="D56" s="14"/>
      <c r="E56" s="16"/>
      <c r="F56" s="14"/>
      <c r="G56" s="16"/>
      <c r="H56" s="14"/>
      <c r="I56" s="17"/>
    </row>
    <row r="57" spans="1:9" ht="17.399999999999999">
      <c r="A57" s="13"/>
      <c r="B57" s="15"/>
      <c r="C57" s="14"/>
      <c r="D57" s="14"/>
      <c r="E57" s="16"/>
      <c r="F57" s="14"/>
      <c r="G57" s="16"/>
      <c r="H57" s="14"/>
      <c r="I57" s="17"/>
    </row>
    <row r="58" spans="1:9" ht="17.399999999999999">
      <c r="A58" s="13"/>
      <c r="B58" s="15"/>
      <c r="C58" s="14"/>
      <c r="D58" s="14"/>
      <c r="E58" s="16"/>
      <c r="F58" s="14"/>
      <c r="G58" s="16"/>
      <c r="H58" s="14"/>
      <c r="I58" s="17"/>
    </row>
    <row r="59" spans="1:9" ht="17.399999999999999">
      <c r="A59" s="13"/>
      <c r="B59" s="15"/>
      <c r="C59" s="14"/>
      <c r="D59" s="14"/>
      <c r="E59" s="16"/>
      <c r="F59" s="14"/>
      <c r="G59" s="16"/>
      <c r="H59" s="14"/>
      <c r="I59" s="17"/>
    </row>
    <row r="60" spans="1:9" ht="17.399999999999999">
      <c r="A60" s="13"/>
      <c r="B60" s="15"/>
      <c r="C60" s="14"/>
      <c r="D60" s="14"/>
      <c r="E60" s="16"/>
      <c r="F60" s="14"/>
      <c r="G60" s="16"/>
      <c r="H60" s="14"/>
      <c r="I60" s="17"/>
    </row>
    <row r="61" spans="1:9" ht="17.399999999999999">
      <c r="A61" s="13"/>
      <c r="B61" s="15"/>
      <c r="C61" s="14"/>
      <c r="D61" s="14"/>
      <c r="E61" s="16"/>
      <c r="F61" s="14"/>
      <c r="G61" s="16"/>
      <c r="H61" s="14"/>
      <c r="I61" s="17"/>
    </row>
    <row r="62" spans="1:9" ht="17.399999999999999">
      <c r="A62" s="13"/>
      <c r="B62" s="15"/>
      <c r="C62" s="14"/>
      <c r="D62" s="14"/>
      <c r="E62" s="16"/>
      <c r="F62" s="14"/>
      <c r="G62" s="16"/>
      <c r="H62" s="14"/>
      <c r="I62" s="17"/>
    </row>
    <row r="63" spans="1:9" ht="17.399999999999999">
      <c r="A63" s="13"/>
      <c r="B63" s="15"/>
      <c r="C63" s="14"/>
      <c r="D63" s="14"/>
      <c r="E63" s="16"/>
      <c r="F63" s="14"/>
      <c r="G63" s="16"/>
      <c r="H63" s="14"/>
      <c r="I63" s="17"/>
    </row>
    <row r="64" spans="1:9" ht="17.399999999999999">
      <c r="A64" s="13"/>
      <c r="B64" s="15"/>
      <c r="C64" s="14"/>
      <c r="D64" s="14"/>
      <c r="E64" s="16"/>
      <c r="F64" s="14"/>
      <c r="G64" s="16"/>
      <c r="H64" s="14"/>
      <c r="I64" s="17"/>
    </row>
    <row r="65" spans="1:9" ht="17.399999999999999">
      <c r="A65" s="13"/>
      <c r="B65" s="15"/>
      <c r="C65" s="14"/>
      <c r="D65" s="14"/>
      <c r="E65" s="16"/>
      <c r="F65" s="14"/>
      <c r="G65" s="16"/>
      <c r="H65" s="14"/>
      <c r="I65" s="17"/>
    </row>
    <row r="66" spans="1:9" ht="17.399999999999999">
      <c r="A66" s="13"/>
      <c r="B66" s="15"/>
      <c r="C66" s="14"/>
      <c r="D66" s="14"/>
      <c r="E66" s="16"/>
      <c r="F66" s="14"/>
      <c r="G66" s="16"/>
      <c r="H66" s="14"/>
      <c r="I66" s="17"/>
    </row>
    <row r="67" spans="1:9" ht="17.399999999999999">
      <c r="A67" s="13"/>
      <c r="B67" s="15"/>
      <c r="C67" s="14"/>
      <c r="D67" s="14"/>
      <c r="E67" s="16"/>
      <c r="F67" s="14"/>
      <c r="G67" s="16"/>
      <c r="H67" s="14"/>
      <c r="I67" s="17"/>
    </row>
    <row r="68" spans="1:9" ht="17.399999999999999">
      <c r="A68" s="13"/>
      <c r="B68" s="15"/>
      <c r="C68" s="14"/>
      <c r="D68" s="14"/>
      <c r="E68" s="16"/>
      <c r="F68" s="14"/>
      <c r="G68" s="16"/>
      <c r="H68" s="14"/>
      <c r="I68" s="17"/>
    </row>
    <row r="69" spans="1:9" ht="17.399999999999999">
      <c r="A69" s="13"/>
      <c r="B69" s="15"/>
      <c r="C69" s="14"/>
      <c r="D69" s="14"/>
      <c r="E69" s="16"/>
      <c r="F69" s="14"/>
      <c r="G69" s="16"/>
      <c r="H69" s="14"/>
      <c r="I69" s="17"/>
    </row>
    <row r="70" spans="1:9" ht="17.399999999999999">
      <c r="A70" s="13"/>
      <c r="B70" s="15"/>
      <c r="C70" s="14"/>
      <c r="D70" s="14"/>
      <c r="E70" s="16"/>
      <c r="F70" s="14"/>
      <c r="G70" s="16"/>
      <c r="H70" s="14"/>
      <c r="I70" s="17"/>
    </row>
    <row r="71" spans="1:9" ht="17.399999999999999">
      <c r="A71" s="13"/>
      <c r="B71" s="15"/>
      <c r="C71" s="14"/>
      <c r="D71" s="14"/>
      <c r="E71" s="16"/>
      <c r="F71" s="14"/>
      <c r="G71" s="16"/>
      <c r="H71" s="14"/>
      <c r="I71" s="17"/>
    </row>
    <row r="72" spans="1:9" ht="17.399999999999999">
      <c r="A72" s="13"/>
      <c r="B72" s="15"/>
      <c r="C72" s="14"/>
      <c r="D72" s="14"/>
      <c r="E72" s="16"/>
      <c r="F72" s="14"/>
      <c r="G72" s="16"/>
      <c r="H72" s="14"/>
      <c r="I72" s="17"/>
    </row>
    <row r="73" spans="1:9" ht="17.399999999999999">
      <c r="A73" s="13"/>
      <c r="B73" s="15"/>
      <c r="C73" s="14"/>
      <c r="D73" s="14"/>
      <c r="E73" s="16"/>
      <c r="F73" s="14"/>
      <c r="G73" s="16"/>
      <c r="H73" s="14"/>
      <c r="I73" s="17"/>
    </row>
    <row r="74" spans="1:9" ht="17.399999999999999">
      <c r="A74" s="13"/>
      <c r="B74" s="15"/>
      <c r="C74" s="14"/>
      <c r="D74" s="14"/>
      <c r="E74" s="16"/>
      <c r="F74" s="14"/>
      <c r="G74" s="16"/>
      <c r="H74" s="14"/>
      <c r="I74" s="17"/>
    </row>
    <row r="75" spans="1:9" ht="17.399999999999999">
      <c r="A75" s="13"/>
      <c r="B75" s="15"/>
      <c r="C75" s="14"/>
      <c r="D75" s="14"/>
      <c r="E75" s="16"/>
      <c r="F75" s="14"/>
      <c r="G75" s="16"/>
      <c r="H75" s="14"/>
      <c r="I75" s="17"/>
    </row>
    <row r="76" spans="1:9" ht="17.399999999999999">
      <c r="A76" s="13"/>
      <c r="B76" s="15"/>
      <c r="C76" s="14"/>
      <c r="D76" s="14"/>
      <c r="E76" s="16"/>
      <c r="F76" s="14"/>
      <c r="G76" s="16"/>
      <c r="H76" s="14"/>
      <c r="I76" s="17"/>
    </row>
    <row r="77" spans="1:9" ht="17.399999999999999">
      <c r="A77" s="13"/>
      <c r="B77" s="15"/>
      <c r="C77" s="14"/>
      <c r="D77" s="14"/>
      <c r="E77" s="16"/>
      <c r="F77" s="14"/>
      <c r="G77" s="16"/>
      <c r="H77" s="14"/>
      <c r="I77" s="17"/>
    </row>
    <row r="78" spans="1:9" ht="17.399999999999999">
      <c r="A78" s="13"/>
      <c r="B78" s="15"/>
      <c r="C78" s="14"/>
      <c r="D78" s="14"/>
      <c r="E78" s="16"/>
      <c r="F78" s="14"/>
      <c r="G78" s="16"/>
      <c r="H78" s="14"/>
      <c r="I78" s="17"/>
    </row>
    <row r="79" spans="1:9" ht="17.399999999999999">
      <c r="A79" s="13"/>
      <c r="B79" s="15"/>
      <c r="C79" s="14"/>
      <c r="D79" s="14"/>
      <c r="E79" s="16"/>
      <c r="F79" s="14"/>
      <c r="G79" s="16"/>
      <c r="H79" s="14"/>
      <c r="I79" s="17"/>
    </row>
    <row r="80" spans="1:9" ht="17.399999999999999">
      <c r="A80" s="13"/>
      <c r="B80" s="15"/>
      <c r="C80" s="14"/>
      <c r="D80" s="14"/>
      <c r="E80" s="16"/>
      <c r="F80" s="14"/>
      <c r="G80" s="16"/>
      <c r="H80" s="14"/>
      <c r="I80" s="17"/>
    </row>
    <row r="81" spans="1:9" ht="17.399999999999999">
      <c r="A81" s="13"/>
      <c r="B81" s="15"/>
      <c r="C81" s="14"/>
      <c r="D81" s="14"/>
      <c r="E81" s="16"/>
      <c r="F81" s="14"/>
      <c r="G81" s="16"/>
      <c r="H81" s="14"/>
      <c r="I81" s="17"/>
    </row>
    <row r="82" spans="1:9" ht="17.399999999999999">
      <c r="A82" s="13"/>
      <c r="B82" s="15"/>
      <c r="C82" s="14"/>
      <c r="D82" s="14"/>
      <c r="E82" s="16"/>
      <c r="F82" s="14"/>
      <c r="G82" s="16"/>
      <c r="H82" s="14"/>
      <c r="I82" s="17"/>
    </row>
    <row r="83" spans="1:9" ht="17.399999999999999">
      <c r="A83" s="13"/>
      <c r="B83" s="15"/>
      <c r="C83" s="14"/>
      <c r="D83" s="14"/>
      <c r="E83" s="16"/>
      <c r="F83" s="14"/>
      <c r="G83" s="16"/>
      <c r="H83" s="14"/>
      <c r="I83" s="17"/>
    </row>
    <row r="84" spans="1:9" ht="17.399999999999999">
      <c r="A84" s="13"/>
      <c r="B84" s="15"/>
      <c r="C84" s="14"/>
      <c r="D84" s="14"/>
      <c r="E84" s="16"/>
      <c r="F84" s="14"/>
      <c r="G84" s="16"/>
      <c r="H84" s="14"/>
      <c r="I84" s="17"/>
    </row>
    <row r="85" spans="1:9" ht="17.399999999999999">
      <c r="A85" s="13"/>
      <c r="B85" s="15"/>
      <c r="C85" s="14"/>
      <c r="D85" s="14"/>
      <c r="E85" s="16"/>
      <c r="F85" s="14"/>
      <c r="G85" s="16"/>
      <c r="H85" s="14"/>
      <c r="I85" s="17"/>
    </row>
    <row r="86" spans="1:9" ht="17.399999999999999">
      <c r="A86" s="13"/>
      <c r="B86" s="15"/>
      <c r="C86" s="14"/>
      <c r="D86" s="14"/>
      <c r="E86" s="16"/>
      <c r="F86" s="14"/>
      <c r="G86" s="16"/>
      <c r="H86" s="14"/>
      <c r="I86" s="17"/>
    </row>
    <row r="87" spans="1:9" ht="17.399999999999999">
      <c r="A87" s="13"/>
      <c r="B87" s="15"/>
      <c r="C87" s="14"/>
      <c r="D87" s="14"/>
      <c r="E87" s="16"/>
      <c r="F87" s="14"/>
      <c r="G87" s="16"/>
      <c r="H87" s="14"/>
      <c r="I87" s="17"/>
    </row>
    <row r="88" spans="1:9" ht="17.399999999999999">
      <c r="A88" s="13"/>
      <c r="B88" s="15"/>
      <c r="C88" s="14"/>
      <c r="D88" s="14"/>
      <c r="E88" s="16"/>
      <c r="F88" s="14"/>
      <c r="G88" s="16"/>
      <c r="H88" s="14"/>
      <c r="I88" s="17"/>
    </row>
    <row r="89" spans="1:9" ht="17.399999999999999">
      <c r="A89" s="13"/>
      <c r="B89" s="15"/>
      <c r="C89" s="14"/>
      <c r="D89" s="14"/>
      <c r="E89" s="16"/>
      <c r="F89" s="14"/>
      <c r="G89" s="16"/>
      <c r="H89" s="14"/>
      <c r="I89" s="17"/>
    </row>
    <row r="90" spans="1:9" ht="17.399999999999999">
      <c r="A90" s="13"/>
      <c r="B90" s="15"/>
      <c r="C90" s="14"/>
      <c r="D90" s="14"/>
      <c r="E90" s="16"/>
      <c r="F90" s="14"/>
      <c r="G90" s="16"/>
      <c r="H90" s="14"/>
      <c r="I90" s="17"/>
    </row>
    <row r="91" spans="1:9" ht="17.399999999999999">
      <c r="A91" s="13"/>
      <c r="B91" s="15"/>
      <c r="C91" s="14"/>
      <c r="D91" s="14"/>
      <c r="E91" s="16"/>
      <c r="F91" s="14"/>
      <c r="G91" s="16"/>
      <c r="H91" s="14"/>
      <c r="I91" s="17"/>
    </row>
    <row r="92" spans="1:9" ht="17.399999999999999">
      <c r="A92" s="13"/>
      <c r="B92" s="15"/>
      <c r="C92" s="14"/>
      <c r="D92" s="14"/>
      <c r="E92" s="16"/>
      <c r="F92" s="14"/>
      <c r="G92" s="16"/>
      <c r="H92" s="14"/>
      <c r="I92" s="17"/>
    </row>
    <row r="93" spans="1:9" ht="17.399999999999999">
      <c r="A93" s="13"/>
      <c r="B93" s="15"/>
      <c r="C93" s="14"/>
      <c r="D93" s="14"/>
      <c r="E93" s="16"/>
      <c r="F93" s="14"/>
      <c r="G93" s="16"/>
      <c r="H93" s="14"/>
      <c r="I93" s="17"/>
    </row>
    <row r="94" spans="1:9" ht="17.399999999999999">
      <c r="A94" s="13"/>
      <c r="B94" s="15"/>
      <c r="C94" s="14"/>
      <c r="D94" s="14"/>
      <c r="E94" s="16"/>
      <c r="F94" s="14"/>
      <c r="G94" s="16"/>
      <c r="H94" s="14"/>
      <c r="I94" s="17"/>
    </row>
  </sheetData>
  <autoFilter ref="A4:I94" xr:uid="{00000000-0009-0000-0000-000001000000}"/>
  <mergeCells count="2">
    <mergeCell ref="A1:I1"/>
    <mergeCell ref="A2:I2"/>
  </mergeCells>
  <phoneticPr fontId="8" type="noConversion"/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E0D4-A52E-4C2C-BAB6-E61B2C32EEEE}">
  <sheetPr>
    <tabColor rgb="FFFFFF00"/>
  </sheetPr>
  <dimension ref="A1:I204"/>
  <sheetViews>
    <sheetView showGridLines="0" zoomScale="55" zoomScaleNormal="55" workbookViewId="0">
      <pane ySplit="4" topLeftCell="A5" activePane="bottomLeft" state="frozen"/>
      <selection activeCell="J9" sqref="J9"/>
      <selection pane="bottomLeft" activeCell="C31" sqref="C31"/>
    </sheetView>
  </sheetViews>
  <sheetFormatPr defaultRowHeight="14.4"/>
  <cols>
    <col min="1" max="1" width="12" style="11" customWidth="1"/>
    <col min="2" max="3" width="24" style="11" customWidth="1"/>
    <col min="4" max="6" width="12" style="11" customWidth="1"/>
    <col min="7" max="7" width="26" style="11" customWidth="1"/>
    <col min="8" max="8" width="12" style="11" customWidth="1"/>
    <col min="9" max="9" width="32" style="11" customWidth="1"/>
    <col min="10" max="16384" width="8.796875" style="11"/>
  </cols>
  <sheetData>
    <row r="1" spans="1:9" ht="28.05" customHeight="1">
      <c r="A1" s="34" t="s">
        <v>97</v>
      </c>
      <c r="B1" s="35"/>
      <c r="C1" s="35"/>
      <c r="D1" s="35"/>
      <c r="E1" s="35"/>
      <c r="F1" s="35"/>
      <c r="G1" s="35"/>
      <c r="H1" s="35"/>
      <c r="I1" s="35"/>
    </row>
    <row r="2" spans="1:9" ht="15.6">
      <c r="A2" s="36" t="s">
        <v>98</v>
      </c>
      <c r="B2" s="35"/>
      <c r="C2" s="35"/>
      <c r="D2" s="35"/>
      <c r="E2" s="35"/>
      <c r="F2" s="35"/>
      <c r="G2" s="35"/>
      <c r="H2" s="35"/>
      <c r="I2" s="35"/>
    </row>
    <row r="4" spans="1:9" ht="34.049999999999997" customHeight="1" thickBot="1">
      <c r="A4" s="12" t="s">
        <v>34</v>
      </c>
      <c r="B4" s="12" t="s">
        <v>99</v>
      </c>
      <c r="C4" s="12" t="s">
        <v>100</v>
      </c>
      <c r="D4" s="12" t="s">
        <v>101</v>
      </c>
      <c r="E4" s="12" t="s">
        <v>35</v>
      </c>
      <c r="F4" s="12" t="s">
        <v>36</v>
      </c>
      <c r="G4" s="12" t="s">
        <v>102</v>
      </c>
      <c r="H4" s="12" t="s">
        <v>37</v>
      </c>
      <c r="I4" s="12" t="s">
        <v>11</v>
      </c>
    </row>
    <row r="5" spans="1:9" ht="17.399999999999999">
      <c r="A5" s="18" t="s">
        <v>103</v>
      </c>
      <c r="B5" s="19" t="s">
        <v>348</v>
      </c>
      <c r="C5" s="19" t="s">
        <v>313</v>
      </c>
      <c r="D5" s="20">
        <v>0.53800000000000003</v>
      </c>
      <c r="E5" s="21" t="str">
        <f t="shared" ref="E5:E68" si="0">IF(D5="","",IF(D5="판단불가","판단불가",IF(D5&gt;0,"양",IF(D5&lt;0,"음","없음"))))</f>
        <v>양</v>
      </c>
      <c r="F5" s="21" t="str">
        <f t="shared" ref="F5:F68" si="1">IF(D5="","",IF(D5="판단불가","판단불가",IF(ABS(D5)&lt;0.2,"약함",IF(ABS(D5)&lt;0.5,"중간","강함"))))</f>
        <v>강함</v>
      </c>
      <c r="G5" s="19" t="s">
        <v>371</v>
      </c>
      <c r="H5" s="19" t="s">
        <v>305</v>
      </c>
      <c r="I5" s="22" t="s">
        <v>306</v>
      </c>
    </row>
    <row r="6" spans="1:9" ht="17.399999999999999">
      <c r="A6" s="18" t="s">
        <v>104</v>
      </c>
      <c r="B6" s="19" t="s">
        <v>348</v>
      </c>
      <c r="C6" s="19" t="s">
        <v>314</v>
      </c>
      <c r="D6" s="20">
        <v>0.69499999999999995</v>
      </c>
      <c r="E6" s="21" t="str">
        <f t="shared" si="0"/>
        <v>양</v>
      </c>
      <c r="F6" s="21" t="str">
        <f t="shared" si="1"/>
        <v>강함</v>
      </c>
      <c r="G6" s="19" t="s">
        <v>371</v>
      </c>
      <c r="H6" s="19" t="s">
        <v>305</v>
      </c>
      <c r="I6" s="22" t="s">
        <v>306</v>
      </c>
    </row>
    <row r="7" spans="1:9" ht="17.399999999999999">
      <c r="A7" s="18" t="s">
        <v>105</v>
      </c>
      <c r="B7" s="19" t="s">
        <v>348</v>
      </c>
      <c r="C7" s="19" t="s">
        <v>315</v>
      </c>
      <c r="D7" s="20">
        <v>0.73199999999999998</v>
      </c>
      <c r="E7" s="21" t="str">
        <f t="shared" si="0"/>
        <v>양</v>
      </c>
      <c r="F7" s="21" t="str">
        <f t="shared" si="1"/>
        <v>강함</v>
      </c>
      <c r="G7" s="19" t="s">
        <v>371</v>
      </c>
      <c r="H7" s="19" t="s">
        <v>305</v>
      </c>
      <c r="I7" s="22" t="s">
        <v>306</v>
      </c>
    </row>
    <row r="8" spans="1:9" ht="17.399999999999999">
      <c r="A8" s="18" t="s">
        <v>106</v>
      </c>
      <c r="B8" s="19" t="s">
        <v>348</v>
      </c>
      <c r="C8" s="19" t="s">
        <v>316</v>
      </c>
      <c r="D8" s="20">
        <v>3.5000000000000003E-2</v>
      </c>
      <c r="E8" s="21" t="str">
        <f t="shared" si="0"/>
        <v>양</v>
      </c>
      <c r="F8" s="21" t="str">
        <f t="shared" si="1"/>
        <v>약함</v>
      </c>
      <c r="G8" s="19" t="s">
        <v>371</v>
      </c>
      <c r="H8" s="19" t="s">
        <v>305</v>
      </c>
      <c r="I8" s="22" t="s">
        <v>306</v>
      </c>
    </row>
    <row r="9" spans="1:9" ht="17.399999999999999">
      <c r="A9" s="18" t="s">
        <v>107</v>
      </c>
      <c r="B9" s="19" t="s">
        <v>348</v>
      </c>
      <c r="C9" s="19" t="s">
        <v>317</v>
      </c>
      <c r="D9" s="20">
        <v>0</v>
      </c>
      <c r="E9" s="23" t="s">
        <v>303</v>
      </c>
      <c r="F9" s="21" t="str">
        <f t="shared" si="1"/>
        <v>약함</v>
      </c>
      <c r="G9" s="19" t="s">
        <v>371</v>
      </c>
      <c r="H9" s="19" t="s">
        <v>305</v>
      </c>
      <c r="I9" s="22" t="s">
        <v>306</v>
      </c>
    </row>
    <row r="10" spans="1:9" ht="17.399999999999999">
      <c r="A10" s="18" t="s">
        <v>108</v>
      </c>
      <c r="B10" s="19" t="s">
        <v>348</v>
      </c>
      <c r="C10" s="19" t="s">
        <v>318</v>
      </c>
      <c r="D10" s="20">
        <v>-0.28000000000000003</v>
      </c>
      <c r="E10" s="21" t="str">
        <f t="shared" si="0"/>
        <v>음</v>
      </c>
      <c r="F10" s="21" t="str">
        <f t="shared" si="1"/>
        <v>중간</v>
      </c>
      <c r="G10" s="19" t="s">
        <v>371</v>
      </c>
      <c r="H10" s="19" t="s">
        <v>305</v>
      </c>
      <c r="I10" s="22" t="s">
        <v>306</v>
      </c>
    </row>
    <row r="11" spans="1:9" ht="17.399999999999999">
      <c r="A11" s="18" t="s">
        <v>109</v>
      </c>
      <c r="B11" s="19" t="s">
        <v>348</v>
      </c>
      <c r="C11" s="19" t="s">
        <v>319</v>
      </c>
      <c r="D11" s="20">
        <v>1.2E-2</v>
      </c>
      <c r="E11" s="21" t="str">
        <f t="shared" si="0"/>
        <v>양</v>
      </c>
      <c r="F11" s="21" t="str">
        <f t="shared" si="1"/>
        <v>약함</v>
      </c>
      <c r="G11" s="19" t="s">
        <v>371</v>
      </c>
      <c r="H11" s="19" t="s">
        <v>305</v>
      </c>
      <c r="I11" s="22" t="s">
        <v>306</v>
      </c>
    </row>
    <row r="12" spans="1:9" ht="17.399999999999999">
      <c r="A12" s="18" t="s">
        <v>110</v>
      </c>
      <c r="B12" s="19" t="s">
        <v>350</v>
      </c>
      <c r="C12" s="19" t="s">
        <v>313</v>
      </c>
      <c r="D12" s="20">
        <v>0.35</v>
      </c>
      <c r="E12" s="21" t="str">
        <f t="shared" si="0"/>
        <v>양</v>
      </c>
      <c r="F12" s="21" t="str">
        <f t="shared" si="1"/>
        <v>중간</v>
      </c>
      <c r="G12" s="19" t="s">
        <v>371</v>
      </c>
      <c r="H12" s="19" t="s">
        <v>305</v>
      </c>
      <c r="I12" s="22" t="s">
        <v>306</v>
      </c>
    </row>
    <row r="13" spans="1:9" ht="17.399999999999999">
      <c r="A13" s="18" t="s">
        <v>111</v>
      </c>
      <c r="B13" s="19" t="s">
        <v>350</v>
      </c>
      <c r="C13" s="19" t="s">
        <v>314</v>
      </c>
      <c r="D13" s="20">
        <v>0.22</v>
      </c>
      <c r="E13" s="21" t="str">
        <f t="shared" si="0"/>
        <v>양</v>
      </c>
      <c r="F13" s="21" t="str">
        <f t="shared" si="1"/>
        <v>중간</v>
      </c>
      <c r="G13" s="19" t="s">
        <v>371</v>
      </c>
      <c r="H13" s="19" t="s">
        <v>305</v>
      </c>
      <c r="I13" s="22" t="s">
        <v>306</v>
      </c>
    </row>
    <row r="14" spans="1:9" ht="17.399999999999999">
      <c r="A14" s="18" t="s">
        <v>112</v>
      </c>
      <c r="B14" s="19" t="s">
        <v>350</v>
      </c>
      <c r="C14" s="19" t="s">
        <v>315</v>
      </c>
      <c r="D14" s="20">
        <v>0.245</v>
      </c>
      <c r="E14" s="21" t="str">
        <f t="shared" si="0"/>
        <v>양</v>
      </c>
      <c r="F14" s="21" t="str">
        <f t="shared" si="1"/>
        <v>중간</v>
      </c>
      <c r="G14" s="19" t="s">
        <v>371</v>
      </c>
      <c r="H14" s="19" t="s">
        <v>305</v>
      </c>
      <c r="I14" s="22" t="s">
        <v>306</v>
      </c>
    </row>
    <row r="15" spans="1:9" ht="17.399999999999999">
      <c r="A15" s="18" t="s">
        <v>113</v>
      </c>
      <c r="B15" s="19" t="s">
        <v>350</v>
      </c>
      <c r="C15" s="19" t="s">
        <v>316</v>
      </c>
      <c r="D15" s="20">
        <v>7.5999999999999998E-2</v>
      </c>
      <c r="E15" s="21" t="str">
        <f t="shared" si="0"/>
        <v>양</v>
      </c>
      <c r="F15" s="21" t="str">
        <f t="shared" si="1"/>
        <v>약함</v>
      </c>
      <c r="G15" s="19" t="s">
        <v>371</v>
      </c>
      <c r="H15" s="19" t="s">
        <v>305</v>
      </c>
      <c r="I15" s="22" t="s">
        <v>306</v>
      </c>
    </row>
    <row r="16" spans="1:9" ht="17.399999999999999">
      <c r="A16" s="18" t="s">
        <v>114</v>
      </c>
      <c r="B16" s="19" t="s">
        <v>350</v>
      </c>
      <c r="C16" s="19" t="s">
        <v>317</v>
      </c>
      <c r="D16" s="20">
        <v>0.14000000000000001</v>
      </c>
      <c r="E16" s="21" t="str">
        <f t="shared" si="0"/>
        <v>양</v>
      </c>
      <c r="F16" s="21" t="str">
        <f t="shared" si="1"/>
        <v>약함</v>
      </c>
      <c r="G16" s="19" t="s">
        <v>371</v>
      </c>
      <c r="H16" s="19" t="s">
        <v>305</v>
      </c>
      <c r="I16" s="22" t="s">
        <v>306</v>
      </c>
    </row>
    <row r="17" spans="1:9" ht="17.399999999999999">
      <c r="A17" s="18" t="s">
        <v>115</v>
      </c>
      <c r="B17" s="19" t="s">
        <v>350</v>
      </c>
      <c r="C17" s="19" t="s">
        <v>318</v>
      </c>
      <c r="D17" s="20">
        <v>0.125</v>
      </c>
      <c r="E17" s="21" t="str">
        <f t="shared" si="0"/>
        <v>양</v>
      </c>
      <c r="F17" s="21" t="str">
        <f t="shared" si="1"/>
        <v>약함</v>
      </c>
      <c r="G17" s="19" t="s">
        <v>371</v>
      </c>
      <c r="H17" s="19" t="s">
        <v>305</v>
      </c>
      <c r="I17" s="22" t="s">
        <v>306</v>
      </c>
    </row>
    <row r="18" spans="1:9" ht="17.399999999999999">
      <c r="A18" s="18" t="s">
        <v>116</v>
      </c>
      <c r="B18" s="19" t="s">
        <v>350</v>
      </c>
      <c r="C18" s="19" t="s">
        <v>319</v>
      </c>
      <c r="D18" s="20">
        <v>7.6999999999999999E-2</v>
      </c>
      <c r="E18" s="21" t="str">
        <f t="shared" si="0"/>
        <v>양</v>
      </c>
      <c r="F18" s="21" t="str">
        <f t="shared" si="1"/>
        <v>약함</v>
      </c>
      <c r="G18" s="19" t="s">
        <v>371</v>
      </c>
      <c r="H18" s="19" t="s">
        <v>305</v>
      </c>
      <c r="I18" s="22" t="s">
        <v>306</v>
      </c>
    </row>
    <row r="19" spans="1:9" ht="17.399999999999999">
      <c r="A19" s="18" t="s">
        <v>117</v>
      </c>
      <c r="B19" s="19" t="s">
        <v>351</v>
      </c>
      <c r="C19" s="19" t="s">
        <v>320</v>
      </c>
      <c r="D19" s="24" t="s">
        <v>69</v>
      </c>
      <c r="E19" s="23" t="s">
        <v>69</v>
      </c>
      <c r="F19" s="23" t="s">
        <v>69</v>
      </c>
      <c r="G19" s="19" t="s">
        <v>372</v>
      </c>
      <c r="H19" s="19" t="s">
        <v>69</v>
      </c>
      <c r="I19" s="22" t="s">
        <v>307</v>
      </c>
    </row>
    <row r="20" spans="1:9" ht="17.399999999999999">
      <c r="A20" s="18" t="s">
        <v>118</v>
      </c>
      <c r="B20" s="19" t="s">
        <v>352</v>
      </c>
      <c r="C20" s="19" t="s">
        <v>320</v>
      </c>
      <c r="D20" s="20">
        <v>-3.6999999999999998E-2</v>
      </c>
      <c r="E20" s="21" t="str">
        <f t="shared" si="0"/>
        <v>음</v>
      </c>
      <c r="F20" s="21" t="str">
        <f t="shared" si="1"/>
        <v>약함</v>
      </c>
      <c r="G20" s="19" t="s">
        <v>371</v>
      </c>
      <c r="H20" s="19" t="s">
        <v>32</v>
      </c>
      <c r="I20" s="22" t="s">
        <v>307</v>
      </c>
    </row>
    <row r="21" spans="1:9" ht="17.399999999999999">
      <c r="A21" s="18" t="s">
        <v>119</v>
      </c>
      <c r="B21" s="19" t="s">
        <v>353</v>
      </c>
      <c r="C21" s="19" t="s">
        <v>320</v>
      </c>
      <c r="D21" s="20">
        <v>-2.3E-2</v>
      </c>
      <c r="E21" s="21" t="str">
        <f t="shared" si="0"/>
        <v>음</v>
      </c>
      <c r="F21" s="21" t="str">
        <f t="shared" si="1"/>
        <v>약함</v>
      </c>
      <c r="G21" s="19" t="s">
        <v>371</v>
      </c>
      <c r="H21" s="19" t="s">
        <v>32</v>
      </c>
      <c r="I21" s="22" t="s">
        <v>307</v>
      </c>
    </row>
    <row r="22" spans="1:9" ht="17.399999999999999">
      <c r="A22" s="18" t="s">
        <v>120</v>
      </c>
      <c r="B22" s="19" t="s">
        <v>355</v>
      </c>
      <c r="C22" s="19" t="s">
        <v>320</v>
      </c>
      <c r="D22" s="20">
        <v>2E-3</v>
      </c>
      <c r="E22" s="21" t="str">
        <f t="shared" si="0"/>
        <v>양</v>
      </c>
      <c r="F22" s="21" t="str">
        <f t="shared" si="1"/>
        <v>약함</v>
      </c>
      <c r="G22" s="19" t="s">
        <v>371</v>
      </c>
      <c r="H22" s="19" t="s">
        <v>308</v>
      </c>
      <c r="I22" s="22" t="s">
        <v>307</v>
      </c>
    </row>
    <row r="23" spans="1:9" ht="17.399999999999999">
      <c r="A23" s="18" t="s">
        <v>121</v>
      </c>
      <c r="B23" s="19" t="s">
        <v>356</v>
      </c>
      <c r="C23" s="19" t="s">
        <v>320</v>
      </c>
      <c r="D23" s="20">
        <v>0.14699999999999999</v>
      </c>
      <c r="E23" s="21" t="str">
        <f t="shared" si="0"/>
        <v>양</v>
      </c>
      <c r="F23" s="21" t="str">
        <f t="shared" si="1"/>
        <v>약함</v>
      </c>
      <c r="G23" s="19" t="s">
        <v>371</v>
      </c>
      <c r="H23" s="19" t="s">
        <v>304</v>
      </c>
      <c r="I23" s="22" t="s">
        <v>307</v>
      </c>
    </row>
    <row r="24" spans="1:9" ht="17.399999999999999">
      <c r="A24" s="18" t="s">
        <v>122</v>
      </c>
      <c r="B24" s="19" t="s">
        <v>357</v>
      </c>
      <c r="C24" s="19" t="s">
        <v>320</v>
      </c>
      <c r="D24" s="20">
        <v>-0.246</v>
      </c>
      <c r="E24" s="21" t="str">
        <f t="shared" si="0"/>
        <v>음</v>
      </c>
      <c r="F24" s="21" t="str">
        <f t="shared" si="1"/>
        <v>중간</v>
      </c>
      <c r="G24" s="19" t="s">
        <v>371</v>
      </c>
      <c r="H24" s="19" t="s">
        <v>308</v>
      </c>
      <c r="I24" s="22" t="s">
        <v>307</v>
      </c>
    </row>
    <row r="25" spans="1:9" ht="17.399999999999999">
      <c r="A25" s="18" t="s">
        <v>123</v>
      </c>
      <c r="B25" s="19" t="s">
        <v>351</v>
      </c>
      <c r="C25" s="19" t="s">
        <v>328</v>
      </c>
      <c r="D25" s="20" t="str">
        <f>IF(OR(B25="",C25=""),"",IFERROR(CORREL(INDEX([1]Raw_Data!$B$2:$CM$1001,1,MATCH(B25,[1]Raw_Data!$B$1:$CM$1,0)):INDEX([1]Raw_Data!$B$2:$CM$1001,1000,MATCH(B25,[1]Raw_Data!$B$1:$CM$1,0)),INDEX([1]Raw_Data!$B$2:$CM$1001,1,MATCH(C25,[1]Raw_Data!$B$1:$CM$1,0)):INDEX([1]Raw_Data!$B$2:$CM$1001,1000,MATCH(C25,[1]Raw_Data!$B$1:$CM$1,0))),"판단불가"))</f>
        <v>판단불가</v>
      </c>
      <c r="E25" s="23" t="s">
        <v>69</v>
      </c>
      <c r="F25" s="23" t="s">
        <v>69</v>
      </c>
      <c r="G25" s="19" t="s">
        <v>372</v>
      </c>
      <c r="H25" s="19" t="s">
        <v>69</v>
      </c>
      <c r="I25" s="22" t="s">
        <v>309</v>
      </c>
    </row>
    <row r="26" spans="1:9" ht="17.399999999999999">
      <c r="A26" s="18" t="s">
        <v>124</v>
      </c>
      <c r="B26" s="19" t="s">
        <v>352</v>
      </c>
      <c r="C26" s="19" t="s">
        <v>328</v>
      </c>
      <c r="D26" s="20" t="str">
        <f>IF(OR(B26="",C26=""),"",IFERROR(CORREL(INDEX([1]Raw_Data!$B$2:$CM$1001,1,MATCH(B26,[1]Raw_Data!$B$1:$CM$1,0)):INDEX([1]Raw_Data!$B$2:$CM$1001,1000,MATCH(B26,[1]Raw_Data!$B$1:$CM$1,0)),INDEX([1]Raw_Data!$B$2:$CM$1001,1,MATCH(C26,[1]Raw_Data!$B$1:$CM$1,0)):INDEX([1]Raw_Data!$B$2:$CM$1001,1000,MATCH(C26,[1]Raw_Data!$B$1:$CM$1,0))),"판단불가"))</f>
        <v>판단불가</v>
      </c>
      <c r="E26" s="23" t="s">
        <v>310</v>
      </c>
      <c r="F26" s="23" t="s">
        <v>69</v>
      </c>
      <c r="G26" s="19" t="s">
        <v>372</v>
      </c>
      <c r="H26" s="19" t="s">
        <v>312</v>
      </c>
      <c r="I26" s="22" t="s">
        <v>309</v>
      </c>
    </row>
    <row r="27" spans="1:9" ht="17.399999999999999">
      <c r="A27" s="18" t="s">
        <v>125</v>
      </c>
      <c r="B27" s="19" t="s">
        <v>353</v>
      </c>
      <c r="C27" s="19" t="s">
        <v>328</v>
      </c>
      <c r="D27" s="20" t="str">
        <f>IF(OR(B27="",C27=""),"",IFERROR(CORREL(INDEX([1]Raw_Data!$B$2:$CM$1001,1,MATCH(B27,[1]Raw_Data!$B$1:$CM$1,0)):INDEX([1]Raw_Data!$B$2:$CM$1001,1000,MATCH(B27,[1]Raw_Data!$B$1:$CM$1,0)),INDEX([1]Raw_Data!$B$2:$CM$1001,1,MATCH(C27,[1]Raw_Data!$B$1:$CM$1,0)):INDEX([1]Raw_Data!$B$2:$CM$1001,1000,MATCH(C27,[1]Raw_Data!$B$1:$CM$1,0))),"판단불가"))</f>
        <v>판단불가</v>
      </c>
      <c r="E27" s="23" t="s">
        <v>310</v>
      </c>
      <c r="F27" s="21" t="s">
        <v>69</v>
      </c>
      <c r="G27" s="19" t="s">
        <v>372</v>
      </c>
      <c r="H27" s="19" t="s">
        <v>312</v>
      </c>
      <c r="I27" s="22" t="s">
        <v>309</v>
      </c>
    </row>
    <row r="28" spans="1:9" ht="17.399999999999999">
      <c r="A28" s="18" t="s">
        <v>126</v>
      </c>
      <c r="B28" s="19" t="s">
        <v>334</v>
      </c>
      <c r="C28" s="19" t="s">
        <v>328</v>
      </c>
      <c r="D28" s="20" t="str">
        <f>IF(OR(B28="",C28=""),"",IFERROR(CORREL(INDEX([1]Raw_Data!$B$2:$CM$1001,1,MATCH(B28,[1]Raw_Data!$B$1:$CM$1,0)):INDEX([1]Raw_Data!$B$2:$CM$1001,1000,MATCH(B28,[1]Raw_Data!$B$1:$CM$1,0)),INDEX([1]Raw_Data!$B$2:$CM$1001,1,MATCH(C28,[1]Raw_Data!$B$1:$CM$1,0)):INDEX([1]Raw_Data!$B$2:$CM$1001,1000,MATCH(C28,[1]Raw_Data!$B$1:$CM$1,0))),"판단불가"))</f>
        <v>판단불가</v>
      </c>
      <c r="E28" s="23" t="s">
        <v>310</v>
      </c>
      <c r="F28" s="21" t="s">
        <v>311</v>
      </c>
      <c r="G28" s="19" t="s">
        <v>372</v>
      </c>
      <c r="H28" s="19" t="s">
        <v>312</v>
      </c>
      <c r="I28" s="22" t="s">
        <v>309</v>
      </c>
    </row>
    <row r="29" spans="1:9" ht="17.399999999999999">
      <c r="A29" s="18" t="s">
        <v>127</v>
      </c>
      <c r="B29" s="19" t="s">
        <v>336</v>
      </c>
      <c r="C29" s="19" t="s">
        <v>328</v>
      </c>
      <c r="D29" s="20" t="str">
        <f>IF(OR(B29="",C29=""),"",IFERROR(CORREL(INDEX([1]Raw_Data!$B$2:$CM$1001,1,MATCH(B29,[1]Raw_Data!$B$1:$CM$1,0)):INDEX([1]Raw_Data!$B$2:$CM$1001,1000,MATCH(B29,[1]Raw_Data!$B$1:$CM$1,0)),INDEX([1]Raw_Data!$B$2:$CM$1001,1,MATCH(C29,[1]Raw_Data!$B$1:$CM$1,0)):INDEX([1]Raw_Data!$B$2:$CM$1001,1000,MATCH(C29,[1]Raw_Data!$B$1:$CM$1,0))),"판단불가"))</f>
        <v>판단불가</v>
      </c>
      <c r="E29" s="23" t="s">
        <v>310</v>
      </c>
      <c r="F29" s="21" t="s">
        <v>311</v>
      </c>
      <c r="G29" s="19" t="s">
        <v>372</v>
      </c>
      <c r="H29" s="19" t="s">
        <v>312</v>
      </c>
      <c r="I29" s="22" t="s">
        <v>309</v>
      </c>
    </row>
    <row r="30" spans="1:9" ht="17.399999999999999">
      <c r="A30" s="18" t="s">
        <v>128</v>
      </c>
      <c r="B30" s="19" t="s">
        <v>338</v>
      </c>
      <c r="C30" s="19" t="s">
        <v>328</v>
      </c>
      <c r="D30" s="20" t="str">
        <f>IF(OR(B30="",C30=""),"",IFERROR(CORREL(INDEX([1]Raw_Data!$B$2:$CM$1001,1,MATCH(B30,[1]Raw_Data!$B$1:$CM$1,0)):INDEX([1]Raw_Data!$B$2:$CM$1001,1000,MATCH(B30,[1]Raw_Data!$B$1:$CM$1,0)),INDEX([1]Raw_Data!$B$2:$CM$1001,1,MATCH(C30,[1]Raw_Data!$B$1:$CM$1,0)):INDEX([1]Raw_Data!$B$2:$CM$1001,1000,MATCH(C30,[1]Raw_Data!$B$1:$CM$1,0))),"판단불가"))</f>
        <v>판단불가</v>
      </c>
      <c r="E30" s="23" t="s">
        <v>310</v>
      </c>
      <c r="F30" s="21" t="s">
        <v>311</v>
      </c>
      <c r="G30" s="19" t="s">
        <v>372</v>
      </c>
      <c r="H30" s="19" t="s">
        <v>312</v>
      </c>
      <c r="I30" s="22" t="s">
        <v>309</v>
      </c>
    </row>
    <row r="31" spans="1:9" ht="17.399999999999999">
      <c r="A31" s="18" t="s">
        <v>129</v>
      </c>
      <c r="B31" s="19" t="s">
        <v>340</v>
      </c>
      <c r="C31" s="19" t="s">
        <v>328</v>
      </c>
      <c r="D31" s="20" t="str">
        <f>IF(OR(B31="",C31=""),"",IFERROR(CORREL(INDEX([1]Raw_Data!$B$2:$CM$1001,1,MATCH(B31,[1]Raw_Data!$B$1:$CM$1,0)):INDEX([1]Raw_Data!$B$2:$CM$1001,1000,MATCH(B31,[1]Raw_Data!$B$1:$CM$1,0)),INDEX([1]Raw_Data!$B$2:$CM$1001,1,MATCH(C31,[1]Raw_Data!$B$1:$CM$1,0)):INDEX([1]Raw_Data!$B$2:$CM$1001,1000,MATCH(C31,[1]Raw_Data!$B$1:$CM$1,0))),"판단불가"))</f>
        <v>판단불가</v>
      </c>
      <c r="E31" s="23" t="s">
        <v>310</v>
      </c>
      <c r="F31" s="21" t="s">
        <v>311</v>
      </c>
      <c r="G31" s="19" t="s">
        <v>372</v>
      </c>
      <c r="H31" s="19" t="s">
        <v>312</v>
      </c>
      <c r="I31" s="22" t="s">
        <v>309</v>
      </c>
    </row>
    <row r="32" spans="1:9" ht="17.399999999999999">
      <c r="A32" s="18" t="s">
        <v>130</v>
      </c>
      <c r="B32" s="19" t="s">
        <v>358</v>
      </c>
      <c r="C32" s="19" t="s">
        <v>330</v>
      </c>
      <c r="D32" s="20" t="str">
        <f>IF(OR(B32="",C32=""),"",IFERROR(CORREL(INDEX([1]Raw_Data!$B$2:$CM$1001,1,MATCH(B32,[1]Raw_Data!$B$1:$CM$1,0)):INDEX([1]Raw_Data!$B$2:$CM$1001,1000,MATCH(B32,[1]Raw_Data!$B$1:$CM$1,0)),INDEX([1]Raw_Data!$B$2:$CM$1001,1,MATCH(C32,[1]Raw_Data!$B$1:$CM$1,0)):INDEX([1]Raw_Data!$B$2:$CM$1001,1000,MATCH(C32,[1]Raw_Data!$B$1:$CM$1,0))),"판단불가"))</f>
        <v>판단불가</v>
      </c>
      <c r="E32" s="23" t="s">
        <v>310</v>
      </c>
      <c r="F32" s="23" t="s">
        <v>311</v>
      </c>
      <c r="G32" s="19" t="s">
        <v>372</v>
      </c>
      <c r="H32" s="19" t="s">
        <v>312</v>
      </c>
      <c r="I32" s="22" t="s">
        <v>309</v>
      </c>
    </row>
    <row r="33" spans="1:9" ht="17.399999999999999">
      <c r="A33" s="18" t="s">
        <v>131</v>
      </c>
      <c r="B33" s="19" t="s">
        <v>359</v>
      </c>
      <c r="C33" s="19" t="s">
        <v>330</v>
      </c>
      <c r="D33" s="20" t="str">
        <f>IF(OR(B33="",C33=""),"",IFERROR(CORREL(INDEX([1]Raw_Data!$B$2:$CM$1001,1,MATCH(B33,[1]Raw_Data!$B$1:$CM$1,0)):INDEX([1]Raw_Data!$B$2:$CM$1001,1000,MATCH(B33,[1]Raw_Data!$B$1:$CM$1,0)),INDEX([1]Raw_Data!$B$2:$CM$1001,1,MATCH(C33,[1]Raw_Data!$B$1:$CM$1,0)):INDEX([1]Raw_Data!$B$2:$CM$1001,1000,MATCH(C33,[1]Raw_Data!$B$1:$CM$1,0))),"판단불가"))</f>
        <v>판단불가</v>
      </c>
      <c r="E33" s="23" t="s">
        <v>310</v>
      </c>
      <c r="F33" s="23" t="s">
        <v>311</v>
      </c>
      <c r="G33" s="19" t="s">
        <v>372</v>
      </c>
      <c r="H33" s="19" t="s">
        <v>312</v>
      </c>
      <c r="I33" s="22" t="s">
        <v>309</v>
      </c>
    </row>
    <row r="34" spans="1:9" ht="17.399999999999999">
      <c r="A34" s="18" t="s">
        <v>132</v>
      </c>
      <c r="B34" s="19" t="s">
        <v>360</v>
      </c>
      <c r="C34" s="19" t="s">
        <v>330</v>
      </c>
      <c r="D34" s="20" t="str">
        <f>IF(OR(B34="",C34=""),"",IFERROR(CORREL(INDEX([1]Raw_Data!$B$2:$CM$1001,1,MATCH(B34,[1]Raw_Data!$B$1:$CM$1,0)):INDEX([1]Raw_Data!$B$2:$CM$1001,1000,MATCH(B34,[1]Raw_Data!$B$1:$CM$1,0)),INDEX([1]Raw_Data!$B$2:$CM$1001,1,MATCH(C34,[1]Raw_Data!$B$1:$CM$1,0)):INDEX([1]Raw_Data!$B$2:$CM$1001,1000,MATCH(C34,[1]Raw_Data!$B$1:$CM$1,0))),"판단불가"))</f>
        <v>판단불가</v>
      </c>
      <c r="E34" s="23" t="s">
        <v>310</v>
      </c>
      <c r="F34" s="23" t="s">
        <v>311</v>
      </c>
      <c r="G34" s="19" t="s">
        <v>372</v>
      </c>
      <c r="H34" s="19" t="s">
        <v>312</v>
      </c>
      <c r="I34" s="22" t="s">
        <v>309</v>
      </c>
    </row>
    <row r="35" spans="1:9" ht="17.399999999999999">
      <c r="A35" s="18" t="s">
        <v>133</v>
      </c>
      <c r="B35" s="19" t="s">
        <v>342</v>
      </c>
      <c r="C35" s="19" t="s">
        <v>330</v>
      </c>
      <c r="D35" s="20" t="str">
        <f>IF(OR(B35="",C35=""),"",IFERROR(CORREL(INDEX([1]Raw_Data!$B$2:$CM$1001,1,MATCH(B35,[1]Raw_Data!$B$1:$CM$1,0)):INDEX([1]Raw_Data!$B$2:$CM$1001,1000,MATCH(B35,[1]Raw_Data!$B$1:$CM$1,0)),INDEX([1]Raw_Data!$B$2:$CM$1001,1,MATCH(C35,[1]Raw_Data!$B$1:$CM$1,0)):INDEX([1]Raw_Data!$B$2:$CM$1001,1000,MATCH(C35,[1]Raw_Data!$B$1:$CM$1,0))),"판단불가"))</f>
        <v>판단불가</v>
      </c>
      <c r="E35" s="23" t="s">
        <v>310</v>
      </c>
      <c r="F35" s="23" t="s">
        <v>311</v>
      </c>
      <c r="G35" s="19" t="s">
        <v>372</v>
      </c>
      <c r="H35" s="19" t="s">
        <v>312</v>
      </c>
      <c r="I35" s="22" t="s">
        <v>309</v>
      </c>
    </row>
    <row r="36" spans="1:9" ht="17.399999999999999">
      <c r="A36" s="18" t="s">
        <v>134</v>
      </c>
      <c r="B36" s="19" t="s">
        <v>344</v>
      </c>
      <c r="C36" s="19" t="s">
        <v>330</v>
      </c>
      <c r="D36" s="20" t="str">
        <f>IF(OR(B36="",C36=""),"",IFERROR(CORREL(INDEX([1]Raw_Data!$B$2:$CM$1001,1,MATCH(B36,[1]Raw_Data!$B$1:$CM$1,0)):INDEX([1]Raw_Data!$B$2:$CM$1001,1000,MATCH(B36,[1]Raw_Data!$B$1:$CM$1,0)),INDEX([1]Raw_Data!$B$2:$CM$1001,1,MATCH(C36,[1]Raw_Data!$B$1:$CM$1,0)):INDEX([1]Raw_Data!$B$2:$CM$1001,1000,MATCH(C36,[1]Raw_Data!$B$1:$CM$1,0))),"판단불가"))</f>
        <v>판단불가</v>
      </c>
      <c r="E36" s="23" t="s">
        <v>310</v>
      </c>
      <c r="F36" s="23" t="s">
        <v>311</v>
      </c>
      <c r="G36" s="19" t="s">
        <v>372</v>
      </c>
      <c r="H36" s="19" t="s">
        <v>312</v>
      </c>
      <c r="I36" s="22" t="s">
        <v>309</v>
      </c>
    </row>
    <row r="37" spans="1:9" ht="17.399999999999999">
      <c r="A37" s="18" t="s">
        <v>135</v>
      </c>
      <c r="B37" s="19"/>
      <c r="C37" s="19"/>
      <c r="D37" s="20" t="str">
        <f>IF(OR(B37="",C37=""),"",IFERROR(CORREL(INDEX([1]Raw_Data!$B$2:$CM$1001,1,MATCH(B37,[1]Raw_Data!$B$1:$CM$1,0)):INDEX([1]Raw_Data!$B$2:$CM$1001,1000,MATCH(B37,[1]Raw_Data!$B$1:$CM$1,0)),INDEX([1]Raw_Data!$B$2:$CM$1001,1,MATCH(C37,[1]Raw_Data!$B$1:$CM$1,0)):INDEX([1]Raw_Data!$B$2:$CM$1001,1000,MATCH(C37,[1]Raw_Data!$B$1:$CM$1,0))),"판단불가"))</f>
        <v/>
      </c>
      <c r="E37" s="21" t="str">
        <f t="shared" si="0"/>
        <v/>
      </c>
      <c r="F37" s="21" t="str">
        <f t="shared" si="1"/>
        <v/>
      </c>
      <c r="G37" s="19"/>
      <c r="H37" s="19"/>
      <c r="I37" s="22"/>
    </row>
    <row r="38" spans="1:9" ht="17.399999999999999">
      <c r="A38" s="18" t="s">
        <v>136</v>
      </c>
      <c r="B38" s="19"/>
      <c r="C38" s="19"/>
      <c r="D38" s="20" t="str">
        <f>IF(OR(B38="",C38=""),"",IFERROR(CORREL(INDEX([1]Raw_Data!$B$2:$CM$1001,1,MATCH(B38,[1]Raw_Data!$B$1:$CM$1,0)):INDEX([1]Raw_Data!$B$2:$CM$1001,1000,MATCH(B38,[1]Raw_Data!$B$1:$CM$1,0)),INDEX([1]Raw_Data!$B$2:$CM$1001,1,MATCH(C38,[1]Raw_Data!$B$1:$CM$1,0)):INDEX([1]Raw_Data!$B$2:$CM$1001,1000,MATCH(C38,[1]Raw_Data!$B$1:$CM$1,0))),"판단불가"))</f>
        <v/>
      </c>
      <c r="E38" s="21" t="str">
        <f t="shared" si="0"/>
        <v/>
      </c>
      <c r="F38" s="21" t="str">
        <f t="shared" si="1"/>
        <v/>
      </c>
      <c r="G38" s="19"/>
      <c r="H38" s="19"/>
      <c r="I38" s="22"/>
    </row>
    <row r="39" spans="1:9" ht="17.399999999999999">
      <c r="A39" s="18" t="s">
        <v>137</v>
      </c>
      <c r="B39" s="19"/>
      <c r="C39" s="19"/>
      <c r="D39" s="20" t="str">
        <f>IF(OR(B39="",C39=""),"",IFERROR(CORREL(INDEX([1]Raw_Data!$B$2:$CM$1001,1,MATCH(B39,[1]Raw_Data!$B$1:$CM$1,0)):INDEX([1]Raw_Data!$B$2:$CM$1001,1000,MATCH(B39,[1]Raw_Data!$B$1:$CM$1,0)),INDEX([1]Raw_Data!$B$2:$CM$1001,1,MATCH(C39,[1]Raw_Data!$B$1:$CM$1,0)):INDEX([1]Raw_Data!$B$2:$CM$1001,1000,MATCH(C39,[1]Raw_Data!$B$1:$CM$1,0))),"판단불가"))</f>
        <v/>
      </c>
      <c r="E39" s="21" t="str">
        <f t="shared" si="0"/>
        <v/>
      </c>
      <c r="F39" s="21" t="str">
        <f t="shared" si="1"/>
        <v/>
      </c>
      <c r="G39" s="19"/>
      <c r="H39" s="19"/>
      <c r="I39" s="22"/>
    </row>
    <row r="40" spans="1:9" ht="17.399999999999999">
      <c r="A40" s="18" t="s">
        <v>138</v>
      </c>
      <c r="B40" s="19"/>
      <c r="C40" s="19"/>
      <c r="D40" s="20" t="str">
        <f>IF(OR(B40="",C40=""),"",IFERROR(CORREL(INDEX([1]Raw_Data!$B$2:$CM$1001,1,MATCH(B40,[1]Raw_Data!$B$1:$CM$1,0)):INDEX([1]Raw_Data!$B$2:$CM$1001,1000,MATCH(B40,[1]Raw_Data!$B$1:$CM$1,0)),INDEX([1]Raw_Data!$B$2:$CM$1001,1,MATCH(C40,[1]Raw_Data!$B$1:$CM$1,0)):INDEX([1]Raw_Data!$B$2:$CM$1001,1000,MATCH(C40,[1]Raw_Data!$B$1:$CM$1,0))),"판단불가"))</f>
        <v/>
      </c>
      <c r="E40" s="21" t="str">
        <f t="shared" si="0"/>
        <v/>
      </c>
      <c r="F40" s="21" t="str">
        <f t="shared" si="1"/>
        <v/>
      </c>
      <c r="G40" s="19"/>
      <c r="H40" s="19"/>
      <c r="I40" s="22"/>
    </row>
    <row r="41" spans="1:9" ht="17.399999999999999">
      <c r="A41" s="18" t="s">
        <v>139</v>
      </c>
      <c r="B41" s="19"/>
      <c r="C41" s="19"/>
      <c r="D41" s="20" t="str">
        <f>IF(OR(B41="",C41=""),"",IFERROR(CORREL(INDEX([1]Raw_Data!$B$2:$CM$1001,1,MATCH(B41,[1]Raw_Data!$B$1:$CM$1,0)):INDEX([1]Raw_Data!$B$2:$CM$1001,1000,MATCH(B41,[1]Raw_Data!$B$1:$CM$1,0)),INDEX([1]Raw_Data!$B$2:$CM$1001,1,MATCH(C41,[1]Raw_Data!$B$1:$CM$1,0)):INDEX([1]Raw_Data!$B$2:$CM$1001,1000,MATCH(C41,[1]Raw_Data!$B$1:$CM$1,0))),"판단불가"))</f>
        <v/>
      </c>
      <c r="E41" s="21" t="str">
        <f t="shared" si="0"/>
        <v/>
      </c>
      <c r="F41" s="21" t="str">
        <f t="shared" si="1"/>
        <v/>
      </c>
      <c r="G41" s="19"/>
      <c r="H41" s="19"/>
      <c r="I41" s="22"/>
    </row>
    <row r="42" spans="1:9" ht="17.399999999999999">
      <c r="A42" s="18" t="s">
        <v>140</v>
      </c>
      <c r="B42" s="19"/>
      <c r="C42" s="19"/>
      <c r="D42" s="20" t="str">
        <f>IF(OR(B42="",C42=""),"",IFERROR(CORREL(INDEX([1]Raw_Data!$B$2:$CM$1001,1,MATCH(B42,[1]Raw_Data!$B$1:$CM$1,0)):INDEX([1]Raw_Data!$B$2:$CM$1001,1000,MATCH(B42,[1]Raw_Data!$B$1:$CM$1,0)),INDEX([1]Raw_Data!$B$2:$CM$1001,1,MATCH(C42,[1]Raw_Data!$B$1:$CM$1,0)):INDEX([1]Raw_Data!$B$2:$CM$1001,1000,MATCH(C42,[1]Raw_Data!$B$1:$CM$1,0))),"판단불가"))</f>
        <v/>
      </c>
      <c r="E42" s="21" t="str">
        <f t="shared" si="0"/>
        <v/>
      </c>
      <c r="F42" s="21" t="str">
        <f t="shared" si="1"/>
        <v/>
      </c>
      <c r="G42" s="19"/>
      <c r="H42" s="19"/>
      <c r="I42" s="22"/>
    </row>
    <row r="43" spans="1:9" ht="17.399999999999999">
      <c r="A43" s="18" t="s">
        <v>141</v>
      </c>
      <c r="B43" s="19"/>
      <c r="C43" s="19"/>
      <c r="D43" s="20" t="str">
        <f>IF(OR(B43="",C43=""),"",IFERROR(CORREL(INDEX([1]Raw_Data!$B$2:$CM$1001,1,MATCH(B43,[1]Raw_Data!$B$1:$CM$1,0)):INDEX([1]Raw_Data!$B$2:$CM$1001,1000,MATCH(B43,[1]Raw_Data!$B$1:$CM$1,0)),INDEX([1]Raw_Data!$B$2:$CM$1001,1,MATCH(C43,[1]Raw_Data!$B$1:$CM$1,0)):INDEX([1]Raw_Data!$B$2:$CM$1001,1000,MATCH(C43,[1]Raw_Data!$B$1:$CM$1,0))),"판단불가"))</f>
        <v/>
      </c>
      <c r="E43" s="21" t="str">
        <f t="shared" si="0"/>
        <v/>
      </c>
      <c r="F43" s="21" t="str">
        <f t="shared" si="1"/>
        <v/>
      </c>
      <c r="G43" s="19"/>
      <c r="H43" s="19"/>
      <c r="I43" s="22"/>
    </row>
    <row r="44" spans="1:9" ht="17.399999999999999">
      <c r="A44" s="18" t="s">
        <v>142</v>
      </c>
      <c r="B44" s="19"/>
      <c r="C44" s="19"/>
      <c r="D44" s="20" t="str">
        <f>IF(OR(B44="",C44=""),"",IFERROR(CORREL(INDEX([1]Raw_Data!$B$2:$CM$1001,1,MATCH(B44,[1]Raw_Data!$B$1:$CM$1,0)):INDEX([1]Raw_Data!$B$2:$CM$1001,1000,MATCH(B44,[1]Raw_Data!$B$1:$CM$1,0)),INDEX([1]Raw_Data!$B$2:$CM$1001,1,MATCH(C44,[1]Raw_Data!$B$1:$CM$1,0)):INDEX([1]Raw_Data!$B$2:$CM$1001,1000,MATCH(C44,[1]Raw_Data!$B$1:$CM$1,0))),"판단불가"))</f>
        <v/>
      </c>
      <c r="E44" s="21" t="str">
        <f t="shared" si="0"/>
        <v/>
      </c>
      <c r="F44" s="21" t="str">
        <f t="shared" si="1"/>
        <v/>
      </c>
      <c r="G44" s="19"/>
      <c r="H44" s="19"/>
      <c r="I44" s="22"/>
    </row>
    <row r="45" spans="1:9" ht="17.399999999999999">
      <c r="A45" s="18" t="s">
        <v>143</v>
      </c>
      <c r="B45" s="19"/>
      <c r="C45" s="19"/>
      <c r="D45" s="20" t="str">
        <f>IF(OR(B45="",C45=""),"",IFERROR(CORREL(INDEX([1]Raw_Data!$B$2:$CM$1001,1,MATCH(B45,[1]Raw_Data!$B$1:$CM$1,0)):INDEX([1]Raw_Data!$B$2:$CM$1001,1000,MATCH(B45,[1]Raw_Data!$B$1:$CM$1,0)),INDEX([1]Raw_Data!$B$2:$CM$1001,1,MATCH(C45,[1]Raw_Data!$B$1:$CM$1,0)):INDEX([1]Raw_Data!$B$2:$CM$1001,1000,MATCH(C45,[1]Raw_Data!$B$1:$CM$1,0))),"판단불가"))</f>
        <v/>
      </c>
      <c r="E45" s="21" t="str">
        <f t="shared" si="0"/>
        <v/>
      </c>
      <c r="F45" s="21" t="str">
        <f t="shared" si="1"/>
        <v/>
      </c>
      <c r="G45" s="19"/>
      <c r="H45" s="19"/>
      <c r="I45" s="22"/>
    </row>
    <row r="46" spans="1:9" ht="17.399999999999999">
      <c r="A46" s="18" t="s">
        <v>144</v>
      </c>
      <c r="B46" s="19"/>
      <c r="C46" s="19"/>
      <c r="D46" s="20" t="str">
        <f>IF(OR(B46="",C46=""),"",IFERROR(CORREL(INDEX([1]Raw_Data!$B$2:$CM$1001,1,MATCH(B46,[1]Raw_Data!$B$1:$CM$1,0)):INDEX([1]Raw_Data!$B$2:$CM$1001,1000,MATCH(B46,[1]Raw_Data!$B$1:$CM$1,0)),INDEX([1]Raw_Data!$B$2:$CM$1001,1,MATCH(C46,[1]Raw_Data!$B$1:$CM$1,0)):INDEX([1]Raw_Data!$B$2:$CM$1001,1000,MATCH(C46,[1]Raw_Data!$B$1:$CM$1,0))),"판단불가"))</f>
        <v/>
      </c>
      <c r="E46" s="21" t="str">
        <f t="shared" si="0"/>
        <v/>
      </c>
      <c r="F46" s="21" t="str">
        <f t="shared" si="1"/>
        <v/>
      </c>
      <c r="G46" s="19"/>
      <c r="H46" s="19"/>
      <c r="I46" s="22"/>
    </row>
    <row r="47" spans="1:9" ht="17.399999999999999">
      <c r="A47" s="18" t="s">
        <v>145</v>
      </c>
      <c r="B47" s="19"/>
      <c r="C47" s="19"/>
      <c r="D47" s="20" t="str">
        <f>IF(OR(B47="",C47=""),"",IFERROR(CORREL(INDEX([1]Raw_Data!$B$2:$CM$1001,1,MATCH(B47,[1]Raw_Data!$B$1:$CM$1,0)):INDEX([1]Raw_Data!$B$2:$CM$1001,1000,MATCH(B47,[1]Raw_Data!$B$1:$CM$1,0)),INDEX([1]Raw_Data!$B$2:$CM$1001,1,MATCH(C47,[1]Raw_Data!$B$1:$CM$1,0)):INDEX([1]Raw_Data!$B$2:$CM$1001,1000,MATCH(C47,[1]Raw_Data!$B$1:$CM$1,0))),"판단불가"))</f>
        <v/>
      </c>
      <c r="E47" s="21" t="str">
        <f t="shared" si="0"/>
        <v/>
      </c>
      <c r="F47" s="21" t="str">
        <f t="shared" si="1"/>
        <v/>
      </c>
      <c r="G47" s="19"/>
      <c r="H47" s="19"/>
      <c r="I47" s="22"/>
    </row>
    <row r="48" spans="1:9" ht="17.399999999999999">
      <c r="A48" s="18" t="s">
        <v>146</v>
      </c>
      <c r="B48" s="19"/>
      <c r="C48" s="19"/>
      <c r="D48" s="20" t="str">
        <f>IF(OR(B48="",C48=""),"",IFERROR(CORREL(INDEX([1]Raw_Data!$B$2:$CM$1001,1,MATCH(B48,[1]Raw_Data!$B$1:$CM$1,0)):INDEX([1]Raw_Data!$B$2:$CM$1001,1000,MATCH(B48,[1]Raw_Data!$B$1:$CM$1,0)),INDEX([1]Raw_Data!$B$2:$CM$1001,1,MATCH(C48,[1]Raw_Data!$B$1:$CM$1,0)):INDEX([1]Raw_Data!$B$2:$CM$1001,1000,MATCH(C48,[1]Raw_Data!$B$1:$CM$1,0))),"판단불가"))</f>
        <v/>
      </c>
      <c r="E48" s="21" t="str">
        <f t="shared" si="0"/>
        <v/>
      </c>
      <c r="F48" s="21" t="str">
        <f t="shared" si="1"/>
        <v/>
      </c>
      <c r="G48" s="19"/>
      <c r="H48" s="19"/>
      <c r="I48" s="22"/>
    </row>
    <row r="49" spans="1:9" ht="17.399999999999999">
      <c r="A49" s="18" t="s">
        <v>147</v>
      </c>
      <c r="B49" s="19"/>
      <c r="C49" s="19"/>
      <c r="D49" s="20" t="str">
        <f>IF(OR(B49="",C49=""),"",IFERROR(CORREL(INDEX([1]Raw_Data!$B$2:$CM$1001,1,MATCH(B49,[1]Raw_Data!$B$1:$CM$1,0)):INDEX([1]Raw_Data!$B$2:$CM$1001,1000,MATCH(B49,[1]Raw_Data!$B$1:$CM$1,0)),INDEX([1]Raw_Data!$B$2:$CM$1001,1,MATCH(C49,[1]Raw_Data!$B$1:$CM$1,0)):INDEX([1]Raw_Data!$B$2:$CM$1001,1000,MATCH(C49,[1]Raw_Data!$B$1:$CM$1,0))),"판단불가"))</f>
        <v/>
      </c>
      <c r="E49" s="21" t="str">
        <f t="shared" si="0"/>
        <v/>
      </c>
      <c r="F49" s="21" t="str">
        <f t="shared" si="1"/>
        <v/>
      </c>
      <c r="G49" s="19"/>
      <c r="H49" s="19"/>
      <c r="I49" s="22"/>
    </row>
    <row r="50" spans="1:9" ht="17.399999999999999">
      <c r="A50" s="18" t="s">
        <v>148</v>
      </c>
      <c r="B50" s="19"/>
      <c r="C50" s="19"/>
      <c r="D50" s="20" t="str">
        <f>IF(OR(B50="",C50=""),"",IFERROR(CORREL(INDEX([1]Raw_Data!$B$2:$CM$1001,1,MATCH(B50,[1]Raw_Data!$B$1:$CM$1,0)):INDEX([1]Raw_Data!$B$2:$CM$1001,1000,MATCH(B50,[1]Raw_Data!$B$1:$CM$1,0)),INDEX([1]Raw_Data!$B$2:$CM$1001,1,MATCH(C50,[1]Raw_Data!$B$1:$CM$1,0)):INDEX([1]Raw_Data!$B$2:$CM$1001,1000,MATCH(C50,[1]Raw_Data!$B$1:$CM$1,0))),"판단불가"))</f>
        <v/>
      </c>
      <c r="E50" s="21" t="str">
        <f t="shared" si="0"/>
        <v/>
      </c>
      <c r="F50" s="21" t="str">
        <f t="shared" si="1"/>
        <v/>
      </c>
      <c r="G50" s="19"/>
      <c r="H50" s="19"/>
      <c r="I50" s="22"/>
    </row>
    <row r="51" spans="1:9" ht="17.399999999999999">
      <c r="A51" s="18" t="s">
        <v>149</v>
      </c>
      <c r="B51" s="19"/>
      <c r="C51" s="19"/>
      <c r="D51" s="20" t="str">
        <f>IF(OR(B51="",C51=""),"",IFERROR(CORREL(INDEX([1]Raw_Data!$B$2:$CM$1001,1,MATCH(B51,[1]Raw_Data!$B$1:$CM$1,0)):INDEX([1]Raw_Data!$B$2:$CM$1001,1000,MATCH(B51,[1]Raw_Data!$B$1:$CM$1,0)),INDEX([1]Raw_Data!$B$2:$CM$1001,1,MATCH(C51,[1]Raw_Data!$B$1:$CM$1,0)):INDEX([1]Raw_Data!$B$2:$CM$1001,1000,MATCH(C51,[1]Raw_Data!$B$1:$CM$1,0))),"판단불가"))</f>
        <v/>
      </c>
      <c r="E51" s="21" t="str">
        <f t="shared" si="0"/>
        <v/>
      </c>
      <c r="F51" s="21" t="str">
        <f t="shared" si="1"/>
        <v/>
      </c>
      <c r="G51" s="19"/>
      <c r="H51" s="19"/>
      <c r="I51" s="22"/>
    </row>
    <row r="52" spans="1:9" ht="17.399999999999999">
      <c r="A52" s="18" t="s">
        <v>150</v>
      </c>
      <c r="B52" s="19"/>
      <c r="C52" s="19"/>
      <c r="D52" s="20" t="str">
        <f>IF(OR(B52="",C52=""),"",IFERROR(CORREL(INDEX([1]Raw_Data!$B$2:$CM$1001,1,MATCH(B52,[1]Raw_Data!$B$1:$CM$1,0)):INDEX([1]Raw_Data!$B$2:$CM$1001,1000,MATCH(B52,[1]Raw_Data!$B$1:$CM$1,0)),INDEX([1]Raw_Data!$B$2:$CM$1001,1,MATCH(C52,[1]Raw_Data!$B$1:$CM$1,0)):INDEX([1]Raw_Data!$B$2:$CM$1001,1000,MATCH(C52,[1]Raw_Data!$B$1:$CM$1,0))),"판단불가"))</f>
        <v/>
      </c>
      <c r="E52" s="21" t="str">
        <f t="shared" si="0"/>
        <v/>
      </c>
      <c r="F52" s="21" t="str">
        <f t="shared" si="1"/>
        <v/>
      </c>
      <c r="G52" s="19"/>
      <c r="H52" s="19"/>
      <c r="I52" s="22"/>
    </row>
    <row r="53" spans="1:9" ht="17.399999999999999">
      <c r="A53" s="18" t="s">
        <v>151</v>
      </c>
      <c r="B53" s="19"/>
      <c r="C53" s="19"/>
      <c r="D53" s="20" t="str">
        <f>IF(OR(B53="",C53=""),"",IFERROR(CORREL(INDEX([1]Raw_Data!$B$2:$CM$1001,1,MATCH(B53,[1]Raw_Data!$B$1:$CM$1,0)):INDEX([1]Raw_Data!$B$2:$CM$1001,1000,MATCH(B53,[1]Raw_Data!$B$1:$CM$1,0)),INDEX([1]Raw_Data!$B$2:$CM$1001,1,MATCH(C53,[1]Raw_Data!$B$1:$CM$1,0)):INDEX([1]Raw_Data!$B$2:$CM$1001,1000,MATCH(C53,[1]Raw_Data!$B$1:$CM$1,0))),"판단불가"))</f>
        <v/>
      </c>
      <c r="E53" s="21" t="str">
        <f t="shared" si="0"/>
        <v/>
      </c>
      <c r="F53" s="21" t="str">
        <f t="shared" si="1"/>
        <v/>
      </c>
      <c r="G53" s="19"/>
      <c r="H53" s="19"/>
      <c r="I53" s="22"/>
    </row>
    <row r="54" spans="1:9" ht="17.399999999999999">
      <c r="A54" s="18" t="s">
        <v>152</v>
      </c>
      <c r="B54" s="19"/>
      <c r="C54" s="19"/>
      <c r="D54" s="20" t="str">
        <f>IF(OR(B54="",C54=""),"",IFERROR(CORREL(INDEX([1]Raw_Data!$B$2:$CM$1001,1,MATCH(B54,[1]Raw_Data!$B$1:$CM$1,0)):INDEX([1]Raw_Data!$B$2:$CM$1001,1000,MATCH(B54,[1]Raw_Data!$B$1:$CM$1,0)),INDEX([1]Raw_Data!$B$2:$CM$1001,1,MATCH(C54,[1]Raw_Data!$B$1:$CM$1,0)):INDEX([1]Raw_Data!$B$2:$CM$1001,1000,MATCH(C54,[1]Raw_Data!$B$1:$CM$1,0))),"판단불가"))</f>
        <v/>
      </c>
      <c r="E54" s="21" t="str">
        <f t="shared" si="0"/>
        <v/>
      </c>
      <c r="F54" s="21" t="str">
        <f t="shared" si="1"/>
        <v/>
      </c>
      <c r="G54" s="19"/>
      <c r="H54" s="19"/>
      <c r="I54" s="22"/>
    </row>
    <row r="55" spans="1:9" ht="17.399999999999999">
      <c r="A55" s="18" t="s">
        <v>153</v>
      </c>
      <c r="B55" s="19"/>
      <c r="C55" s="19"/>
      <c r="D55" s="20" t="str">
        <f>IF(OR(B55="",C55=""),"",IFERROR(CORREL(INDEX([1]Raw_Data!$B$2:$CM$1001,1,MATCH(B55,[1]Raw_Data!$B$1:$CM$1,0)):INDEX([1]Raw_Data!$B$2:$CM$1001,1000,MATCH(B55,[1]Raw_Data!$B$1:$CM$1,0)),INDEX([1]Raw_Data!$B$2:$CM$1001,1,MATCH(C55,[1]Raw_Data!$B$1:$CM$1,0)):INDEX([1]Raw_Data!$B$2:$CM$1001,1000,MATCH(C55,[1]Raw_Data!$B$1:$CM$1,0))),"판단불가"))</f>
        <v/>
      </c>
      <c r="E55" s="21" t="str">
        <f t="shared" si="0"/>
        <v/>
      </c>
      <c r="F55" s="21" t="str">
        <f t="shared" si="1"/>
        <v/>
      </c>
      <c r="G55" s="19"/>
      <c r="H55" s="19"/>
      <c r="I55" s="22"/>
    </row>
    <row r="56" spans="1:9" ht="17.399999999999999">
      <c r="A56" s="18" t="s">
        <v>154</v>
      </c>
      <c r="B56" s="19"/>
      <c r="C56" s="19"/>
      <c r="D56" s="20" t="str">
        <f>IF(OR(B56="",C56=""),"",IFERROR(CORREL(INDEX([1]Raw_Data!$B$2:$CM$1001,1,MATCH(B56,[1]Raw_Data!$B$1:$CM$1,0)):INDEX([1]Raw_Data!$B$2:$CM$1001,1000,MATCH(B56,[1]Raw_Data!$B$1:$CM$1,0)),INDEX([1]Raw_Data!$B$2:$CM$1001,1,MATCH(C56,[1]Raw_Data!$B$1:$CM$1,0)):INDEX([1]Raw_Data!$B$2:$CM$1001,1000,MATCH(C56,[1]Raw_Data!$B$1:$CM$1,0))),"판단불가"))</f>
        <v/>
      </c>
      <c r="E56" s="21" t="str">
        <f t="shared" si="0"/>
        <v/>
      </c>
      <c r="F56" s="21" t="str">
        <f t="shared" si="1"/>
        <v/>
      </c>
      <c r="G56" s="19"/>
      <c r="H56" s="19"/>
      <c r="I56" s="22"/>
    </row>
    <row r="57" spans="1:9" ht="17.399999999999999">
      <c r="A57" s="18" t="s">
        <v>155</v>
      </c>
      <c r="B57" s="19"/>
      <c r="C57" s="19"/>
      <c r="D57" s="20" t="str">
        <f>IF(OR(B57="",C57=""),"",IFERROR(CORREL(INDEX([1]Raw_Data!$B$2:$CM$1001,1,MATCH(B57,[1]Raw_Data!$B$1:$CM$1,0)):INDEX([1]Raw_Data!$B$2:$CM$1001,1000,MATCH(B57,[1]Raw_Data!$B$1:$CM$1,0)),INDEX([1]Raw_Data!$B$2:$CM$1001,1,MATCH(C57,[1]Raw_Data!$B$1:$CM$1,0)):INDEX([1]Raw_Data!$B$2:$CM$1001,1000,MATCH(C57,[1]Raw_Data!$B$1:$CM$1,0))),"판단불가"))</f>
        <v/>
      </c>
      <c r="E57" s="21" t="str">
        <f t="shared" si="0"/>
        <v/>
      </c>
      <c r="F57" s="21" t="str">
        <f t="shared" si="1"/>
        <v/>
      </c>
      <c r="G57" s="19"/>
      <c r="H57" s="19"/>
      <c r="I57" s="22"/>
    </row>
    <row r="58" spans="1:9" ht="17.399999999999999">
      <c r="A58" s="18" t="s">
        <v>156</v>
      </c>
      <c r="B58" s="19"/>
      <c r="C58" s="19"/>
      <c r="D58" s="20" t="str">
        <f>IF(OR(B58="",C58=""),"",IFERROR(CORREL(INDEX([1]Raw_Data!$B$2:$CM$1001,1,MATCH(B58,[1]Raw_Data!$B$1:$CM$1,0)):INDEX([1]Raw_Data!$B$2:$CM$1001,1000,MATCH(B58,[1]Raw_Data!$B$1:$CM$1,0)),INDEX([1]Raw_Data!$B$2:$CM$1001,1,MATCH(C58,[1]Raw_Data!$B$1:$CM$1,0)):INDEX([1]Raw_Data!$B$2:$CM$1001,1000,MATCH(C58,[1]Raw_Data!$B$1:$CM$1,0))),"판단불가"))</f>
        <v/>
      </c>
      <c r="E58" s="21" t="str">
        <f t="shared" si="0"/>
        <v/>
      </c>
      <c r="F58" s="21" t="str">
        <f t="shared" si="1"/>
        <v/>
      </c>
      <c r="G58" s="19"/>
      <c r="H58" s="19"/>
      <c r="I58" s="22"/>
    </row>
    <row r="59" spans="1:9" ht="17.399999999999999">
      <c r="A59" s="18" t="s">
        <v>157</v>
      </c>
      <c r="B59" s="19"/>
      <c r="C59" s="19"/>
      <c r="D59" s="20" t="str">
        <f>IF(OR(B59="",C59=""),"",IFERROR(CORREL(INDEX([1]Raw_Data!$B$2:$CM$1001,1,MATCH(B59,[1]Raw_Data!$B$1:$CM$1,0)):INDEX([1]Raw_Data!$B$2:$CM$1001,1000,MATCH(B59,[1]Raw_Data!$B$1:$CM$1,0)),INDEX([1]Raw_Data!$B$2:$CM$1001,1,MATCH(C59,[1]Raw_Data!$B$1:$CM$1,0)):INDEX([1]Raw_Data!$B$2:$CM$1001,1000,MATCH(C59,[1]Raw_Data!$B$1:$CM$1,0))),"판단불가"))</f>
        <v/>
      </c>
      <c r="E59" s="21" t="str">
        <f t="shared" si="0"/>
        <v/>
      </c>
      <c r="F59" s="21" t="str">
        <f t="shared" si="1"/>
        <v/>
      </c>
      <c r="G59" s="19"/>
      <c r="H59" s="19"/>
      <c r="I59" s="22"/>
    </row>
    <row r="60" spans="1:9" ht="17.399999999999999">
      <c r="A60" s="18" t="s">
        <v>158</v>
      </c>
      <c r="B60" s="19"/>
      <c r="C60" s="19"/>
      <c r="D60" s="20" t="str">
        <f>IF(OR(B60="",C60=""),"",IFERROR(CORREL(INDEX([1]Raw_Data!$B$2:$CM$1001,1,MATCH(B60,[1]Raw_Data!$B$1:$CM$1,0)):INDEX([1]Raw_Data!$B$2:$CM$1001,1000,MATCH(B60,[1]Raw_Data!$B$1:$CM$1,0)),INDEX([1]Raw_Data!$B$2:$CM$1001,1,MATCH(C60,[1]Raw_Data!$B$1:$CM$1,0)):INDEX([1]Raw_Data!$B$2:$CM$1001,1000,MATCH(C60,[1]Raw_Data!$B$1:$CM$1,0))),"판단불가"))</f>
        <v/>
      </c>
      <c r="E60" s="21" t="str">
        <f t="shared" si="0"/>
        <v/>
      </c>
      <c r="F60" s="21" t="str">
        <f t="shared" si="1"/>
        <v/>
      </c>
      <c r="G60" s="19"/>
      <c r="H60" s="19"/>
      <c r="I60" s="22"/>
    </row>
    <row r="61" spans="1:9" ht="17.399999999999999">
      <c r="A61" s="18" t="s">
        <v>159</v>
      </c>
      <c r="B61" s="19"/>
      <c r="C61" s="19"/>
      <c r="D61" s="20" t="str">
        <f>IF(OR(B61="",C61=""),"",IFERROR(CORREL(INDEX([1]Raw_Data!$B$2:$CM$1001,1,MATCH(B61,[1]Raw_Data!$B$1:$CM$1,0)):INDEX([1]Raw_Data!$B$2:$CM$1001,1000,MATCH(B61,[1]Raw_Data!$B$1:$CM$1,0)),INDEX([1]Raw_Data!$B$2:$CM$1001,1,MATCH(C61,[1]Raw_Data!$B$1:$CM$1,0)):INDEX([1]Raw_Data!$B$2:$CM$1001,1000,MATCH(C61,[1]Raw_Data!$B$1:$CM$1,0))),"판단불가"))</f>
        <v/>
      </c>
      <c r="E61" s="21" t="str">
        <f t="shared" si="0"/>
        <v/>
      </c>
      <c r="F61" s="21" t="str">
        <f t="shared" si="1"/>
        <v/>
      </c>
      <c r="G61" s="19"/>
      <c r="H61" s="19"/>
      <c r="I61" s="22"/>
    </row>
    <row r="62" spans="1:9" ht="17.399999999999999">
      <c r="A62" s="18" t="s">
        <v>160</v>
      </c>
      <c r="B62" s="19"/>
      <c r="C62" s="19"/>
      <c r="D62" s="20" t="str">
        <f>IF(OR(B62="",C62=""),"",IFERROR(CORREL(INDEX([1]Raw_Data!$B$2:$CM$1001,1,MATCH(B62,[1]Raw_Data!$B$1:$CM$1,0)):INDEX([1]Raw_Data!$B$2:$CM$1001,1000,MATCH(B62,[1]Raw_Data!$B$1:$CM$1,0)),INDEX([1]Raw_Data!$B$2:$CM$1001,1,MATCH(C62,[1]Raw_Data!$B$1:$CM$1,0)):INDEX([1]Raw_Data!$B$2:$CM$1001,1000,MATCH(C62,[1]Raw_Data!$B$1:$CM$1,0))),"판단불가"))</f>
        <v/>
      </c>
      <c r="E62" s="21" t="str">
        <f t="shared" si="0"/>
        <v/>
      </c>
      <c r="F62" s="21" t="str">
        <f t="shared" si="1"/>
        <v/>
      </c>
      <c r="G62" s="19"/>
      <c r="H62" s="19"/>
      <c r="I62" s="22"/>
    </row>
    <row r="63" spans="1:9" ht="17.399999999999999">
      <c r="A63" s="18" t="s">
        <v>161</v>
      </c>
      <c r="B63" s="19"/>
      <c r="C63" s="19"/>
      <c r="D63" s="20" t="str">
        <f>IF(OR(B63="",C63=""),"",IFERROR(CORREL(INDEX([1]Raw_Data!$B$2:$CM$1001,1,MATCH(B63,[1]Raw_Data!$B$1:$CM$1,0)):INDEX([1]Raw_Data!$B$2:$CM$1001,1000,MATCH(B63,[1]Raw_Data!$B$1:$CM$1,0)),INDEX([1]Raw_Data!$B$2:$CM$1001,1,MATCH(C63,[1]Raw_Data!$B$1:$CM$1,0)):INDEX([1]Raw_Data!$B$2:$CM$1001,1000,MATCH(C63,[1]Raw_Data!$B$1:$CM$1,0))),"판단불가"))</f>
        <v/>
      </c>
      <c r="E63" s="21" t="str">
        <f t="shared" si="0"/>
        <v/>
      </c>
      <c r="F63" s="21" t="str">
        <f t="shared" si="1"/>
        <v/>
      </c>
      <c r="G63" s="19"/>
      <c r="H63" s="19"/>
      <c r="I63" s="22"/>
    </row>
    <row r="64" spans="1:9" ht="17.399999999999999">
      <c r="A64" s="18" t="s">
        <v>162</v>
      </c>
      <c r="B64" s="19"/>
      <c r="C64" s="19"/>
      <c r="D64" s="20" t="str">
        <f>IF(OR(B64="",C64=""),"",IFERROR(CORREL(INDEX([1]Raw_Data!$B$2:$CM$1001,1,MATCH(B64,[1]Raw_Data!$B$1:$CM$1,0)):INDEX([1]Raw_Data!$B$2:$CM$1001,1000,MATCH(B64,[1]Raw_Data!$B$1:$CM$1,0)),INDEX([1]Raw_Data!$B$2:$CM$1001,1,MATCH(C64,[1]Raw_Data!$B$1:$CM$1,0)):INDEX([1]Raw_Data!$B$2:$CM$1001,1000,MATCH(C64,[1]Raw_Data!$B$1:$CM$1,0))),"판단불가"))</f>
        <v/>
      </c>
      <c r="E64" s="21" t="str">
        <f t="shared" si="0"/>
        <v/>
      </c>
      <c r="F64" s="21" t="str">
        <f t="shared" si="1"/>
        <v/>
      </c>
      <c r="G64" s="19"/>
      <c r="H64" s="19"/>
      <c r="I64" s="22"/>
    </row>
    <row r="65" spans="1:9" ht="17.399999999999999">
      <c r="A65" s="18" t="s">
        <v>163</v>
      </c>
      <c r="B65" s="19"/>
      <c r="C65" s="19"/>
      <c r="D65" s="20" t="str">
        <f>IF(OR(B65="",C65=""),"",IFERROR(CORREL(INDEX([1]Raw_Data!$B$2:$CM$1001,1,MATCH(B65,[1]Raw_Data!$B$1:$CM$1,0)):INDEX([1]Raw_Data!$B$2:$CM$1001,1000,MATCH(B65,[1]Raw_Data!$B$1:$CM$1,0)),INDEX([1]Raw_Data!$B$2:$CM$1001,1,MATCH(C65,[1]Raw_Data!$B$1:$CM$1,0)):INDEX([1]Raw_Data!$B$2:$CM$1001,1000,MATCH(C65,[1]Raw_Data!$B$1:$CM$1,0))),"판단불가"))</f>
        <v/>
      </c>
      <c r="E65" s="21" t="str">
        <f t="shared" si="0"/>
        <v/>
      </c>
      <c r="F65" s="21" t="str">
        <f t="shared" si="1"/>
        <v/>
      </c>
      <c r="G65" s="19"/>
      <c r="H65" s="19"/>
      <c r="I65" s="22"/>
    </row>
    <row r="66" spans="1:9" ht="17.399999999999999">
      <c r="A66" s="18" t="s">
        <v>164</v>
      </c>
      <c r="B66" s="19"/>
      <c r="C66" s="19"/>
      <c r="D66" s="20" t="str">
        <f>IF(OR(B66="",C66=""),"",IFERROR(CORREL(INDEX([1]Raw_Data!$B$2:$CM$1001,1,MATCH(B66,[1]Raw_Data!$B$1:$CM$1,0)):INDEX([1]Raw_Data!$B$2:$CM$1001,1000,MATCH(B66,[1]Raw_Data!$B$1:$CM$1,0)),INDEX([1]Raw_Data!$B$2:$CM$1001,1,MATCH(C66,[1]Raw_Data!$B$1:$CM$1,0)):INDEX([1]Raw_Data!$B$2:$CM$1001,1000,MATCH(C66,[1]Raw_Data!$B$1:$CM$1,0))),"판단불가"))</f>
        <v/>
      </c>
      <c r="E66" s="21" t="str">
        <f t="shared" si="0"/>
        <v/>
      </c>
      <c r="F66" s="21" t="str">
        <f t="shared" si="1"/>
        <v/>
      </c>
      <c r="G66" s="19"/>
      <c r="H66" s="19"/>
      <c r="I66" s="22"/>
    </row>
    <row r="67" spans="1:9" ht="17.399999999999999">
      <c r="A67" s="18" t="s">
        <v>165</v>
      </c>
      <c r="B67" s="19"/>
      <c r="C67" s="19"/>
      <c r="D67" s="20" t="str">
        <f>IF(OR(B67="",C67=""),"",IFERROR(CORREL(INDEX([1]Raw_Data!$B$2:$CM$1001,1,MATCH(B67,[1]Raw_Data!$B$1:$CM$1,0)):INDEX([1]Raw_Data!$B$2:$CM$1001,1000,MATCH(B67,[1]Raw_Data!$B$1:$CM$1,0)),INDEX([1]Raw_Data!$B$2:$CM$1001,1,MATCH(C67,[1]Raw_Data!$B$1:$CM$1,0)):INDEX([1]Raw_Data!$B$2:$CM$1001,1000,MATCH(C67,[1]Raw_Data!$B$1:$CM$1,0))),"판단불가"))</f>
        <v/>
      </c>
      <c r="E67" s="21" t="str">
        <f t="shared" si="0"/>
        <v/>
      </c>
      <c r="F67" s="21" t="str">
        <f t="shared" si="1"/>
        <v/>
      </c>
      <c r="G67" s="19"/>
      <c r="H67" s="19"/>
      <c r="I67" s="22"/>
    </row>
    <row r="68" spans="1:9" ht="17.399999999999999">
      <c r="A68" s="18" t="s">
        <v>166</v>
      </c>
      <c r="B68" s="19"/>
      <c r="C68" s="19"/>
      <c r="D68" s="20" t="str">
        <f>IF(OR(B68="",C68=""),"",IFERROR(CORREL(INDEX([1]Raw_Data!$B$2:$CM$1001,1,MATCH(B68,[1]Raw_Data!$B$1:$CM$1,0)):INDEX([1]Raw_Data!$B$2:$CM$1001,1000,MATCH(B68,[1]Raw_Data!$B$1:$CM$1,0)),INDEX([1]Raw_Data!$B$2:$CM$1001,1,MATCH(C68,[1]Raw_Data!$B$1:$CM$1,0)):INDEX([1]Raw_Data!$B$2:$CM$1001,1000,MATCH(C68,[1]Raw_Data!$B$1:$CM$1,0))),"판단불가"))</f>
        <v/>
      </c>
      <c r="E68" s="21" t="str">
        <f t="shared" si="0"/>
        <v/>
      </c>
      <c r="F68" s="21" t="str">
        <f t="shared" si="1"/>
        <v/>
      </c>
      <c r="G68" s="19"/>
      <c r="H68" s="19"/>
      <c r="I68" s="22"/>
    </row>
    <row r="69" spans="1:9" ht="17.399999999999999">
      <c r="A69" s="18" t="s">
        <v>167</v>
      </c>
      <c r="B69" s="19"/>
      <c r="C69" s="19"/>
      <c r="D69" s="20" t="str">
        <f>IF(OR(B69="",C69=""),"",IFERROR(CORREL(INDEX([1]Raw_Data!$B$2:$CM$1001,1,MATCH(B69,[1]Raw_Data!$B$1:$CM$1,0)):INDEX([1]Raw_Data!$B$2:$CM$1001,1000,MATCH(B69,[1]Raw_Data!$B$1:$CM$1,0)),INDEX([1]Raw_Data!$B$2:$CM$1001,1,MATCH(C69,[1]Raw_Data!$B$1:$CM$1,0)):INDEX([1]Raw_Data!$B$2:$CM$1001,1000,MATCH(C69,[1]Raw_Data!$B$1:$CM$1,0))),"판단불가"))</f>
        <v/>
      </c>
      <c r="E69" s="21" t="str">
        <f t="shared" ref="E69:E132" si="2">IF(D69="","",IF(D69="판단불가","판단불가",IF(D69&gt;0,"양",IF(D69&lt;0,"음","없음"))))</f>
        <v/>
      </c>
      <c r="F69" s="21" t="str">
        <f t="shared" ref="F69:F132" si="3">IF(D69="","",IF(D69="판단불가","판단불가",IF(ABS(D69)&lt;0.2,"약함",IF(ABS(D69)&lt;0.5,"중간","강함"))))</f>
        <v/>
      </c>
      <c r="G69" s="19"/>
      <c r="H69" s="19"/>
      <c r="I69" s="22"/>
    </row>
    <row r="70" spans="1:9" ht="17.399999999999999">
      <c r="A70" s="18" t="s">
        <v>168</v>
      </c>
      <c r="B70" s="19"/>
      <c r="C70" s="19"/>
      <c r="D70" s="20" t="str">
        <f>IF(OR(B70="",C70=""),"",IFERROR(CORREL(INDEX([1]Raw_Data!$B$2:$CM$1001,1,MATCH(B70,[1]Raw_Data!$B$1:$CM$1,0)):INDEX([1]Raw_Data!$B$2:$CM$1001,1000,MATCH(B70,[1]Raw_Data!$B$1:$CM$1,0)),INDEX([1]Raw_Data!$B$2:$CM$1001,1,MATCH(C70,[1]Raw_Data!$B$1:$CM$1,0)):INDEX([1]Raw_Data!$B$2:$CM$1001,1000,MATCH(C70,[1]Raw_Data!$B$1:$CM$1,0))),"판단불가"))</f>
        <v/>
      </c>
      <c r="E70" s="21" t="str">
        <f t="shared" si="2"/>
        <v/>
      </c>
      <c r="F70" s="21" t="str">
        <f t="shared" si="3"/>
        <v/>
      </c>
      <c r="G70" s="19"/>
      <c r="H70" s="19"/>
      <c r="I70" s="22"/>
    </row>
    <row r="71" spans="1:9" ht="17.399999999999999">
      <c r="A71" s="18" t="s">
        <v>169</v>
      </c>
      <c r="B71" s="19"/>
      <c r="C71" s="19"/>
      <c r="D71" s="20" t="str">
        <f>IF(OR(B71="",C71=""),"",IFERROR(CORREL(INDEX([1]Raw_Data!$B$2:$CM$1001,1,MATCH(B71,[1]Raw_Data!$B$1:$CM$1,0)):INDEX([1]Raw_Data!$B$2:$CM$1001,1000,MATCH(B71,[1]Raw_Data!$B$1:$CM$1,0)),INDEX([1]Raw_Data!$B$2:$CM$1001,1,MATCH(C71,[1]Raw_Data!$B$1:$CM$1,0)):INDEX([1]Raw_Data!$B$2:$CM$1001,1000,MATCH(C71,[1]Raw_Data!$B$1:$CM$1,0))),"판단불가"))</f>
        <v/>
      </c>
      <c r="E71" s="21" t="str">
        <f t="shared" si="2"/>
        <v/>
      </c>
      <c r="F71" s="21" t="str">
        <f t="shared" si="3"/>
        <v/>
      </c>
      <c r="G71" s="19"/>
      <c r="H71" s="19"/>
      <c r="I71" s="22"/>
    </row>
    <row r="72" spans="1:9" ht="17.399999999999999">
      <c r="A72" s="18" t="s">
        <v>170</v>
      </c>
      <c r="B72" s="19"/>
      <c r="C72" s="19"/>
      <c r="D72" s="20" t="str">
        <f>IF(OR(B72="",C72=""),"",IFERROR(CORREL(INDEX([1]Raw_Data!$B$2:$CM$1001,1,MATCH(B72,[1]Raw_Data!$B$1:$CM$1,0)):INDEX([1]Raw_Data!$B$2:$CM$1001,1000,MATCH(B72,[1]Raw_Data!$B$1:$CM$1,0)),INDEX([1]Raw_Data!$B$2:$CM$1001,1,MATCH(C72,[1]Raw_Data!$B$1:$CM$1,0)):INDEX([1]Raw_Data!$B$2:$CM$1001,1000,MATCH(C72,[1]Raw_Data!$B$1:$CM$1,0))),"판단불가"))</f>
        <v/>
      </c>
      <c r="E72" s="21" t="str">
        <f t="shared" si="2"/>
        <v/>
      </c>
      <c r="F72" s="21" t="str">
        <f t="shared" si="3"/>
        <v/>
      </c>
      <c r="G72" s="19"/>
      <c r="H72" s="19"/>
      <c r="I72" s="22"/>
    </row>
    <row r="73" spans="1:9" ht="17.399999999999999">
      <c r="A73" s="18" t="s">
        <v>171</v>
      </c>
      <c r="B73" s="19"/>
      <c r="C73" s="19"/>
      <c r="D73" s="20" t="str">
        <f>IF(OR(B73="",C73=""),"",IFERROR(CORREL(INDEX([1]Raw_Data!$B$2:$CM$1001,1,MATCH(B73,[1]Raw_Data!$B$1:$CM$1,0)):INDEX([1]Raw_Data!$B$2:$CM$1001,1000,MATCH(B73,[1]Raw_Data!$B$1:$CM$1,0)),INDEX([1]Raw_Data!$B$2:$CM$1001,1,MATCH(C73,[1]Raw_Data!$B$1:$CM$1,0)):INDEX([1]Raw_Data!$B$2:$CM$1001,1000,MATCH(C73,[1]Raw_Data!$B$1:$CM$1,0))),"판단불가"))</f>
        <v/>
      </c>
      <c r="E73" s="21" t="str">
        <f t="shared" si="2"/>
        <v/>
      </c>
      <c r="F73" s="21" t="str">
        <f t="shared" si="3"/>
        <v/>
      </c>
      <c r="G73" s="19"/>
      <c r="H73" s="19"/>
      <c r="I73" s="22"/>
    </row>
    <row r="74" spans="1:9" ht="17.399999999999999">
      <c r="A74" s="18" t="s">
        <v>172</v>
      </c>
      <c r="B74" s="19"/>
      <c r="C74" s="19"/>
      <c r="D74" s="20" t="str">
        <f>IF(OR(B74="",C74=""),"",IFERROR(CORREL(INDEX([1]Raw_Data!$B$2:$CM$1001,1,MATCH(B74,[1]Raw_Data!$B$1:$CM$1,0)):INDEX([1]Raw_Data!$B$2:$CM$1001,1000,MATCH(B74,[1]Raw_Data!$B$1:$CM$1,0)),INDEX([1]Raw_Data!$B$2:$CM$1001,1,MATCH(C74,[1]Raw_Data!$B$1:$CM$1,0)):INDEX([1]Raw_Data!$B$2:$CM$1001,1000,MATCH(C74,[1]Raw_Data!$B$1:$CM$1,0))),"판단불가"))</f>
        <v/>
      </c>
      <c r="E74" s="21" t="str">
        <f t="shared" si="2"/>
        <v/>
      </c>
      <c r="F74" s="21" t="str">
        <f t="shared" si="3"/>
        <v/>
      </c>
      <c r="G74" s="19"/>
      <c r="H74" s="19"/>
      <c r="I74" s="22"/>
    </row>
    <row r="75" spans="1:9" ht="17.399999999999999">
      <c r="A75" s="18" t="s">
        <v>173</v>
      </c>
      <c r="B75" s="19"/>
      <c r="C75" s="19"/>
      <c r="D75" s="20" t="str">
        <f>IF(OR(B75="",C75=""),"",IFERROR(CORREL(INDEX([1]Raw_Data!$B$2:$CM$1001,1,MATCH(B75,[1]Raw_Data!$B$1:$CM$1,0)):INDEX([1]Raw_Data!$B$2:$CM$1001,1000,MATCH(B75,[1]Raw_Data!$B$1:$CM$1,0)),INDEX([1]Raw_Data!$B$2:$CM$1001,1,MATCH(C75,[1]Raw_Data!$B$1:$CM$1,0)):INDEX([1]Raw_Data!$B$2:$CM$1001,1000,MATCH(C75,[1]Raw_Data!$B$1:$CM$1,0))),"판단불가"))</f>
        <v/>
      </c>
      <c r="E75" s="21" t="str">
        <f t="shared" si="2"/>
        <v/>
      </c>
      <c r="F75" s="21" t="str">
        <f t="shared" si="3"/>
        <v/>
      </c>
      <c r="G75" s="19"/>
      <c r="H75" s="19"/>
      <c r="I75" s="22"/>
    </row>
    <row r="76" spans="1:9" ht="17.399999999999999">
      <c r="A76" s="18" t="s">
        <v>174</v>
      </c>
      <c r="B76" s="19"/>
      <c r="C76" s="19"/>
      <c r="D76" s="20" t="str">
        <f>IF(OR(B76="",C76=""),"",IFERROR(CORREL(INDEX([1]Raw_Data!$B$2:$CM$1001,1,MATCH(B76,[1]Raw_Data!$B$1:$CM$1,0)):INDEX([1]Raw_Data!$B$2:$CM$1001,1000,MATCH(B76,[1]Raw_Data!$B$1:$CM$1,0)),INDEX([1]Raw_Data!$B$2:$CM$1001,1,MATCH(C76,[1]Raw_Data!$B$1:$CM$1,0)):INDEX([1]Raw_Data!$B$2:$CM$1001,1000,MATCH(C76,[1]Raw_Data!$B$1:$CM$1,0))),"판단불가"))</f>
        <v/>
      </c>
      <c r="E76" s="21" t="str">
        <f t="shared" si="2"/>
        <v/>
      </c>
      <c r="F76" s="21" t="str">
        <f t="shared" si="3"/>
        <v/>
      </c>
      <c r="G76" s="19"/>
      <c r="H76" s="19"/>
      <c r="I76" s="22"/>
    </row>
    <row r="77" spans="1:9" ht="17.399999999999999">
      <c r="A77" s="18" t="s">
        <v>175</v>
      </c>
      <c r="B77" s="19"/>
      <c r="C77" s="19"/>
      <c r="D77" s="20" t="str">
        <f>IF(OR(B77="",C77=""),"",IFERROR(CORREL(INDEX([1]Raw_Data!$B$2:$CM$1001,1,MATCH(B77,[1]Raw_Data!$B$1:$CM$1,0)):INDEX([1]Raw_Data!$B$2:$CM$1001,1000,MATCH(B77,[1]Raw_Data!$B$1:$CM$1,0)),INDEX([1]Raw_Data!$B$2:$CM$1001,1,MATCH(C77,[1]Raw_Data!$B$1:$CM$1,0)):INDEX([1]Raw_Data!$B$2:$CM$1001,1000,MATCH(C77,[1]Raw_Data!$B$1:$CM$1,0))),"판단불가"))</f>
        <v/>
      </c>
      <c r="E77" s="21" t="str">
        <f t="shared" si="2"/>
        <v/>
      </c>
      <c r="F77" s="21" t="str">
        <f t="shared" si="3"/>
        <v/>
      </c>
      <c r="G77" s="19"/>
      <c r="H77" s="19"/>
      <c r="I77" s="22"/>
    </row>
    <row r="78" spans="1:9" ht="17.399999999999999">
      <c r="A78" s="18" t="s">
        <v>176</v>
      </c>
      <c r="B78" s="19"/>
      <c r="C78" s="19"/>
      <c r="D78" s="20" t="str">
        <f>IF(OR(B78="",C78=""),"",IFERROR(CORREL(INDEX([1]Raw_Data!$B$2:$CM$1001,1,MATCH(B78,[1]Raw_Data!$B$1:$CM$1,0)):INDEX([1]Raw_Data!$B$2:$CM$1001,1000,MATCH(B78,[1]Raw_Data!$B$1:$CM$1,0)),INDEX([1]Raw_Data!$B$2:$CM$1001,1,MATCH(C78,[1]Raw_Data!$B$1:$CM$1,0)):INDEX([1]Raw_Data!$B$2:$CM$1001,1000,MATCH(C78,[1]Raw_Data!$B$1:$CM$1,0))),"판단불가"))</f>
        <v/>
      </c>
      <c r="E78" s="21" t="str">
        <f t="shared" si="2"/>
        <v/>
      </c>
      <c r="F78" s="21" t="str">
        <f t="shared" si="3"/>
        <v/>
      </c>
      <c r="G78" s="19"/>
      <c r="H78" s="19"/>
      <c r="I78" s="22"/>
    </row>
    <row r="79" spans="1:9" ht="17.399999999999999">
      <c r="A79" s="18" t="s">
        <v>177</v>
      </c>
      <c r="B79" s="19"/>
      <c r="C79" s="19"/>
      <c r="D79" s="20" t="str">
        <f>IF(OR(B79="",C79=""),"",IFERROR(CORREL(INDEX([1]Raw_Data!$B$2:$CM$1001,1,MATCH(B79,[1]Raw_Data!$B$1:$CM$1,0)):INDEX([1]Raw_Data!$B$2:$CM$1001,1000,MATCH(B79,[1]Raw_Data!$B$1:$CM$1,0)),INDEX([1]Raw_Data!$B$2:$CM$1001,1,MATCH(C79,[1]Raw_Data!$B$1:$CM$1,0)):INDEX([1]Raw_Data!$B$2:$CM$1001,1000,MATCH(C79,[1]Raw_Data!$B$1:$CM$1,0))),"판단불가"))</f>
        <v/>
      </c>
      <c r="E79" s="21" t="str">
        <f t="shared" si="2"/>
        <v/>
      </c>
      <c r="F79" s="21" t="str">
        <f t="shared" si="3"/>
        <v/>
      </c>
      <c r="G79" s="19"/>
      <c r="H79" s="19"/>
      <c r="I79" s="22"/>
    </row>
    <row r="80" spans="1:9" ht="17.399999999999999">
      <c r="A80" s="18" t="s">
        <v>178</v>
      </c>
      <c r="B80" s="19"/>
      <c r="C80" s="19"/>
      <c r="D80" s="20" t="str">
        <f>IF(OR(B80="",C80=""),"",IFERROR(CORREL(INDEX([1]Raw_Data!$B$2:$CM$1001,1,MATCH(B80,[1]Raw_Data!$B$1:$CM$1,0)):INDEX([1]Raw_Data!$B$2:$CM$1001,1000,MATCH(B80,[1]Raw_Data!$B$1:$CM$1,0)),INDEX([1]Raw_Data!$B$2:$CM$1001,1,MATCH(C80,[1]Raw_Data!$B$1:$CM$1,0)):INDEX([1]Raw_Data!$B$2:$CM$1001,1000,MATCH(C80,[1]Raw_Data!$B$1:$CM$1,0))),"판단불가"))</f>
        <v/>
      </c>
      <c r="E80" s="21" t="str">
        <f t="shared" si="2"/>
        <v/>
      </c>
      <c r="F80" s="21" t="str">
        <f t="shared" si="3"/>
        <v/>
      </c>
      <c r="G80" s="19"/>
      <c r="H80" s="19"/>
      <c r="I80" s="22"/>
    </row>
    <row r="81" spans="1:9" ht="17.399999999999999">
      <c r="A81" s="18" t="s">
        <v>179</v>
      </c>
      <c r="B81" s="19"/>
      <c r="C81" s="19"/>
      <c r="D81" s="20" t="str">
        <f>IF(OR(B81="",C81=""),"",IFERROR(CORREL(INDEX([1]Raw_Data!$B$2:$CM$1001,1,MATCH(B81,[1]Raw_Data!$B$1:$CM$1,0)):INDEX([1]Raw_Data!$B$2:$CM$1001,1000,MATCH(B81,[1]Raw_Data!$B$1:$CM$1,0)),INDEX([1]Raw_Data!$B$2:$CM$1001,1,MATCH(C81,[1]Raw_Data!$B$1:$CM$1,0)):INDEX([1]Raw_Data!$B$2:$CM$1001,1000,MATCH(C81,[1]Raw_Data!$B$1:$CM$1,0))),"판단불가"))</f>
        <v/>
      </c>
      <c r="E81" s="21" t="str">
        <f t="shared" si="2"/>
        <v/>
      </c>
      <c r="F81" s="21" t="str">
        <f t="shared" si="3"/>
        <v/>
      </c>
      <c r="G81" s="19"/>
      <c r="H81" s="19"/>
      <c r="I81" s="22"/>
    </row>
    <row r="82" spans="1:9" ht="17.399999999999999">
      <c r="A82" s="18" t="s">
        <v>180</v>
      </c>
      <c r="B82" s="19"/>
      <c r="C82" s="19"/>
      <c r="D82" s="20" t="str">
        <f>IF(OR(B82="",C82=""),"",IFERROR(CORREL(INDEX([1]Raw_Data!$B$2:$CM$1001,1,MATCH(B82,[1]Raw_Data!$B$1:$CM$1,0)):INDEX([1]Raw_Data!$B$2:$CM$1001,1000,MATCH(B82,[1]Raw_Data!$B$1:$CM$1,0)),INDEX([1]Raw_Data!$B$2:$CM$1001,1,MATCH(C82,[1]Raw_Data!$B$1:$CM$1,0)):INDEX([1]Raw_Data!$B$2:$CM$1001,1000,MATCH(C82,[1]Raw_Data!$B$1:$CM$1,0))),"판단불가"))</f>
        <v/>
      </c>
      <c r="E82" s="21" t="str">
        <f t="shared" si="2"/>
        <v/>
      </c>
      <c r="F82" s="21" t="str">
        <f t="shared" si="3"/>
        <v/>
      </c>
      <c r="G82" s="19"/>
      <c r="H82" s="19"/>
      <c r="I82" s="22"/>
    </row>
    <row r="83" spans="1:9" ht="17.399999999999999">
      <c r="A83" s="18" t="s">
        <v>181</v>
      </c>
      <c r="B83" s="19"/>
      <c r="C83" s="19"/>
      <c r="D83" s="20" t="str">
        <f>IF(OR(B83="",C83=""),"",IFERROR(CORREL(INDEX([1]Raw_Data!$B$2:$CM$1001,1,MATCH(B83,[1]Raw_Data!$B$1:$CM$1,0)):INDEX([1]Raw_Data!$B$2:$CM$1001,1000,MATCH(B83,[1]Raw_Data!$B$1:$CM$1,0)),INDEX([1]Raw_Data!$B$2:$CM$1001,1,MATCH(C83,[1]Raw_Data!$B$1:$CM$1,0)):INDEX([1]Raw_Data!$B$2:$CM$1001,1000,MATCH(C83,[1]Raw_Data!$B$1:$CM$1,0))),"판단불가"))</f>
        <v/>
      </c>
      <c r="E83" s="21" t="str">
        <f t="shared" si="2"/>
        <v/>
      </c>
      <c r="F83" s="21" t="str">
        <f t="shared" si="3"/>
        <v/>
      </c>
      <c r="G83" s="19"/>
      <c r="H83" s="19"/>
      <c r="I83" s="22"/>
    </row>
    <row r="84" spans="1:9" ht="17.399999999999999">
      <c r="A84" s="18" t="s">
        <v>182</v>
      </c>
      <c r="B84" s="19"/>
      <c r="C84" s="19"/>
      <c r="D84" s="20" t="str">
        <f>IF(OR(B84="",C84=""),"",IFERROR(CORREL(INDEX([1]Raw_Data!$B$2:$CM$1001,1,MATCH(B84,[1]Raw_Data!$B$1:$CM$1,0)):INDEX([1]Raw_Data!$B$2:$CM$1001,1000,MATCH(B84,[1]Raw_Data!$B$1:$CM$1,0)),INDEX([1]Raw_Data!$B$2:$CM$1001,1,MATCH(C84,[1]Raw_Data!$B$1:$CM$1,0)):INDEX([1]Raw_Data!$B$2:$CM$1001,1000,MATCH(C84,[1]Raw_Data!$B$1:$CM$1,0))),"판단불가"))</f>
        <v/>
      </c>
      <c r="E84" s="21" t="str">
        <f t="shared" si="2"/>
        <v/>
      </c>
      <c r="F84" s="21" t="str">
        <f t="shared" si="3"/>
        <v/>
      </c>
      <c r="G84" s="19"/>
      <c r="H84" s="19"/>
      <c r="I84" s="22"/>
    </row>
    <row r="85" spans="1:9" ht="17.399999999999999">
      <c r="A85" s="18" t="s">
        <v>183</v>
      </c>
      <c r="B85" s="19"/>
      <c r="C85" s="19"/>
      <c r="D85" s="20" t="str">
        <f>IF(OR(B85="",C85=""),"",IFERROR(CORREL(INDEX([1]Raw_Data!$B$2:$CM$1001,1,MATCH(B85,[1]Raw_Data!$B$1:$CM$1,0)):INDEX([1]Raw_Data!$B$2:$CM$1001,1000,MATCH(B85,[1]Raw_Data!$B$1:$CM$1,0)),INDEX([1]Raw_Data!$B$2:$CM$1001,1,MATCH(C85,[1]Raw_Data!$B$1:$CM$1,0)):INDEX([1]Raw_Data!$B$2:$CM$1001,1000,MATCH(C85,[1]Raw_Data!$B$1:$CM$1,0))),"판단불가"))</f>
        <v/>
      </c>
      <c r="E85" s="21" t="str">
        <f t="shared" si="2"/>
        <v/>
      </c>
      <c r="F85" s="21" t="str">
        <f t="shared" si="3"/>
        <v/>
      </c>
      <c r="G85" s="19"/>
      <c r="H85" s="19"/>
      <c r="I85" s="22"/>
    </row>
    <row r="86" spans="1:9" ht="17.399999999999999">
      <c r="A86" s="18" t="s">
        <v>184</v>
      </c>
      <c r="B86" s="19"/>
      <c r="C86" s="19"/>
      <c r="D86" s="20" t="str">
        <f>IF(OR(B86="",C86=""),"",IFERROR(CORREL(INDEX([1]Raw_Data!$B$2:$CM$1001,1,MATCH(B86,[1]Raw_Data!$B$1:$CM$1,0)):INDEX([1]Raw_Data!$B$2:$CM$1001,1000,MATCH(B86,[1]Raw_Data!$B$1:$CM$1,0)),INDEX([1]Raw_Data!$B$2:$CM$1001,1,MATCH(C86,[1]Raw_Data!$B$1:$CM$1,0)):INDEX([1]Raw_Data!$B$2:$CM$1001,1000,MATCH(C86,[1]Raw_Data!$B$1:$CM$1,0))),"판단불가"))</f>
        <v/>
      </c>
      <c r="E86" s="21" t="str">
        <f t="shared" si="2"/>
        <v/>
      </c>
      <c r="F86" s="21" t="str">
        <f t="shared" si="3"/>
        <v/>
      </c>
      <c r="G86" s="19"/>
      <c r="H86" s="19"/>
      <c r="I86" s="22"/>
    </row>
    <row r="87" spans="1:9" ht="17.399999999999999">
      <c r="A87" s="18" t="s">
        <v>185</v>
      </c>
      <c r="B87" s="19"/>
      <c r="C87" s="19"/>
      <c r="D87" s="20" t="str">
        <f>IF(OR(B87="",C87=""),"",IFERROR(CORREL(INDEX([1]Raw_Data!$B$2:$CM$1001,1,MATCH(B87,[1]Raw_Data!$B$1:$CM$1,0)):INDEX([1]Raw_Data!$B$2:$CM$1001,1000,MATCH(B87,[1]Raw_Data!$B$1:$CM$1,0)),INDEX([1]Raw_Data!$B$2:$CM$1001,1,MATCH(C87,[1]Raw_Data!$B$1:$CM$1,0)):INDEX([1]Raw_Data!$B$2:$CM$1001,1000,MATCH(C87,[1]Raw_Data!$B$1:$CM$1,0))),"판단불가"))</f>
        <v/>
      </c>
      <c r="E87" s="21" t="str">
        <f t="shared" si="2"/>
        <v/>
      </c>
      <c r="F87" s="21" t="str">
        <f t="shared" si="3"/>
        <v/>
      </c>
      <c r="G87" s="19"/>
      <c r="H87" s="19"/>
      <c r="I87" s="22"/>
    </row>
    <row r="88" spans="1:9" ht="17.399999999999999">
      <c r="A88" s="18" t="s">
        <v>186</v>
      </c>
      <c r="B88" s="19"/>
      <c r="C88" s="19"/>
      <c r="D88" s="20" t="str">
        <f>IF(OR(B88="",C88=""),"",IFERROR(CORREL(INDEX([1]Raw_Data!$B$2:$CM$1001,1,MATCH(B88,[1]Raw_Data!$B$1:$CM$1,0)):INDEX([1]Raw_Data!$B$2:$CM$1001,1000,MATCH(B88,[1]Raw_Data!$B$1:$CM$1,0)),INDEX([1]Raw_Data!$B$2:$CM$1001,1,MATCH(C88,[1]Raw_Data!$B$1:$CM$1,0)):INDEX([1]Raw_Data!$B$2:$CM$1001,1000,MATCH(C88,[1]Raw_Data!$B$1:$CM$1,0))),"판단불가"))</f>
        <v/>
      </c>
      <c r="E88" s="21" t="str">
        <f t="shared" si="2"/>
        <v/>
      </c>
      <c r="F88" s="21" t="str">
        <f t="shared" si="3"/>
        <v/>
      </c>
      <c r="G88" s="19"/>
      <c r="H88" s="19"/>
      <c r="I88" s="22"/>
    </row>
    <row r="89" spans="1:9" ht="17.399999999999999">
      <c r="A89" s="18" t="s">
        <v>187</v>
      </c>
      <c r="B89" s="19"/>
      <c r="C89" s="19"/>
      <c r="D89" s="20" t="str">
        <f>IF(OR(B89="",C89=""),"",IFERROR(CORREL(INDEX([1]Raw_Data!$B$2:$CM$1001,1,MATCH(B89,[1]Raw_Data!$B$1:$CM$1,0)):INDEX([1]Raw_Data!$B$2:$CM$1001,1000,MATCH(B89,[1]Raw_Data!$B$1:$CM$1,0)),INDEX([1]Raw_Data!$B$2:$CM$1001,1,MATCH(C89,[1]Raw_Data!$B$1:$CM$1,0)):INDEX([1]Raw_Data!$B$2:$CM$1001,1000,MATCH(C89,[1]Raw_Data!$B$1:$CM$1,0))),"판단불가"))</f>
        <v/>
      </c>
      <c r="E89" s="21" t="str">
        <f t="shared" si="2"/>
        <v/>
      </c>
      <c r="F89" s="21" t="str">
        <f t="shared" si="3"/>
        <v/>
      </c>
      <c r="G89" s="19"/>
      <c r="H89" s="19"/>
      <c r="I89" s="22"/>
    </row>
    <row r="90" spans="1:9" ht="17.399999999999999">
      <c r="A90" s="18" t="s">
        <v>188</v>
      </c>
      <c r="B90" s="19"/>
      <c r="C90" s="19"/>
      <c r="D90" s="20" t="str">
        <f>IF(OR(B90="",C90=""),"",IFERROR(CORREL(INDEX([1]Raw_Data!$B$2:$CM$1001,1,MATCH(B90,[1]Raw_Data!$B$1:$CM$1,0)):INDEX([1]Raw_Data!$B$2:$CM$1001,1000,MATCH(B90,[1]Raw_Data!$B$1:$CM$1,0)),INDEX([1]Raw_Data!$B$2:$CM$1001,1,MATCH(C90,[1]Raw_Data!$B$1:$CM$1,0)):INDEX([1]Raw_Data!$B$2:$CM$1001,1000,MATCH(C90,[1]Raw_Data!$B$1:$CM$1,0))),"판단불가"))</f>
        <v/>
      </c>
      <c r="E90" s="21" t="str">
        <f t="shared" si="2"/>
        <v/>
      </c>
      <c r="F90" s="21" t="str">
        <f t="shared" si="3"/>
        <v/>
      </c>
      <c r="G90" s="19"/>
      <c r="H90" s="19"/>
      <c r="I90" s="22"/>
    </row>
    <row r="91" spans="1:9" ht="17.399999999999999">
      <c r="A91" s="18" t="s">
        <v>189</v>
      </c>
      <c r="B91" s="19"/>
      <c r="C91" s="19"/>
      <c r="D91" s="20" t="str">
        <f>IF(OR(B91="",C91=""),"",IFERROR(CORREL(INDEX([1]Raw_Data!$B$2:$CM$1001,1,MATCH(B91,[1]Raw_Data!$B$1:$CM$1,0)):INDEX([1]Raw_Data!$B$2:$CM$1001,1000,MATCH(B91,[1]Raw_Data!$B$1:$CM$1,0)),INDEX([1]Raw_Data!$B$2:$CM$1001,1,MATCH(C91,[1]Raw_Data!$B$1:$CM$1,0)):INDEX([1]Raw_Data!$B$2:$CM$1001,1000,MATCH(C91,[1]Raw_Data!$B$1:$CM$1,0))),"판단불가"))</f>
        <v/>
      </c>
      <c r="E91" s="21" t="str">
        <f t="shared" si="2"/>
        <v/>
      </c>
      <c r="F91" s="21" t="str">
        <f t="shared" si="3"/>
        <v/>
      </c>
      <c r="G91" s="19"/>
      <c r="H91" s="19"/>
      <c r="I91" s="22"/>
    </row>
    <row r="92" spans="1:9" ht="17.399999999999999">
      <c r="A92" s="18" t="s">
        <v>190</v>
      </c>
      <c r="B92" s="19"/>
      <c r="C92" s="19"/>
      <c r="D92" s="20" t="str">
        <f>IF(OR(B92="",C92=""),"",IFERROR(CORREL(INDEX([1]Raw_Data!$B$2:$CM$1001,1,MATCH(B92,[1]Raw_Data!$B$1:$CM$1,0)):INDEX([1]Raw_Data!$B$2:$CM$1001,1000,MATCH(B92,[1]Raw_Data!$B$1:$CM$1,0)),INDEX([1]Raw_Data!$B$2:$CM$1001,1,MATCH(C92,[1]Raw_Data!$B$1:$CM$1,0)):INDEX([1]Raw_Data!$B$2:$CM$1001,1000,MATCH(C92,[1]Raw_Data!$B$1:$CM$1,0))),"판단불가"))</f>
        <v/>
      </c>
      <c r="E92" s="21" t="str">
        <f t="shared" si="2"/>
        <v/>
      </c>
      <c r="F92" s="21" t="str">
        <f t="shared" si="3"/>
        <v/>
      </c>
      <c r="G92" s="19"/>
      <c r="H92" s="19"/>
      <c r="I92" s="22"/>
    </row>
    <row r="93" spans="1:9" ht="17.399999999999999">
      <c r="A93" s="18" t="s">
        <v>191</v>
      </c>
      <c r="B93" s="19"/>
      <c r="C93" s="19"/>
      <c r="D93" s="20" t="str">
        <f>IF(OR(B93="",C93=""),"",IFERROR(CORREL(INDEX([1]Raw_Data!$B$2:$CM$1001,1,MATCH(B93,[1]Raw_Data!$B$1:$CM$1,0)):INDEX([1]Raw_Data!$B$2:$CM$1001,1000,MATCH(B93,[1]Raw_Data!$B$1:$CM$1,0)),INDEX([1]Raw_Data!$B$2:$CM$1001,1,MATCH(C93,[1]Raw_Data!$B$1:$CM$1,0)):INDEX([1]Raw_Data!$B$2:$CM$1001,1000,MATCH(C93,[1]Raw_Data!$B$1:$CM$1,0))),"판단불가"))</f>
        <v/>
      </c>
      <c r="E93" s="21" t="str">
        <f t="shared" si="2"/>
        <v/>
      </c>
      <c r="F93" s="21" t="str">
        <f t="shared" si="3"/>
        <v/>
      </c>
      <c r="G93" s="19"/>
      <c r="H93" s="19"/>
      <c r="I93" s="22"/>
    </row>
    <row r="94" spans="1:9" ht="17.399999999999999">
      <c r="A94" s="18" t="s">
        <v>192</v>
      </c>
      <c r="B94" s="19"/>
      <c r="C94" s="19"/>
      <c r="D94" s="20" t="str">
        <f>IF(OR(B94="",C94=""),"",IFERROR(CORREL(INDEX([1]Raw_Data!$B$2:$CM$1001,1,MATCH(B94,[1]Raw_Data!$B$1:$CM$1,0)):INDEX([1]Raw_Data!$B$2:$CM$1001,1000,MATCH(B94,[1]Raw_Data!$B$1:$CM$1,0)),INDEX([1]Raw_Data!$B$2:$CM$1001,1,MATCH(C94,[1]Raw_Data!$B$1:$CM$1,0)):INDEX([1]Raw_Data!$B$2:$CM$1001,1000,MATCH(C94,[1]Raw_Data!$B$1:$CM$1,0))),"판단불가"))</f>
        <v/>
      </c>
      <c r="E94" s="21" t="str">
        <f t="shared" si="2"/>
        <v/>
      </c>
      <c r="F94" s="21" t="str">
        <f t="shared" si="3"/>
        <v/>
      </c>
      <c r="G94" s="19"/>
      <c r="H94" s="19"/>
      <c r="I94" s="22"/>
    </row>
    <row r="95" spans="1:9" ht="17.399999999999999">
      <c r="A95" s="18" t="s">
        <v>193</v>
      </c>
      <c r="B95" s="19"/>
      <c r="C95" s="19"/>
      <c r="D95" s="20" t="str">
        <f>IF(OR(B95="",C95=""),"",IFERROR(CORREL(INDEX([1]Raw_Data!$B$2:$CM$1001,1,MATCH(B95,[1]Raw_Data!$B$1:$CM$1,0)):INDEX([1]Raw_Data!$B$2:$CM$1001,1000,MATCH(B95,[1]Raw_Data!$B$1:$CM$1,0)),INDEX([1]Raw_Data!$B$2:$CM$1001,1,MATCH(C95,[1]Raw_Data!$B$1:$CM$1,0)):INDEX([1]Raw_Data!$B$2:$CM$1001,1000,MATCH(C95,[1]Raw_Data!$B$1:$CM$1,0))),"판단불가"))</f>
        <v/>
      </c>
      <c r="E95" s="21" t="str">
        <f t="shared" si="2"/>
        <v/>
      </c>
      <c r="F95" s="21" t="str">
        <f t="shared" si="3"/>
        <v/>
      </c>
      <c r="G95" s="19"/>
      <c r="H95" s="19"/>
      <c r="I95" s="22"/>
    </row>
    <row r="96" spans="1:9" ht="17.399999999999999">
      <c r="A96" s="18" t="s">
        <v>194</v>
      </c>
      <c r="B96" s="19"/>
      <c r="C96" s="19"/>
      <c r="D96" s="20" t="str">
        <f>IF(OR(B96="",C96=""),"",IFERROR(CORREL(INDEX([1]Raw_Data!$B$2:$CM$1001,1,MATCH(B96,[1]Raw_Data!$B$1:$CM$1,0)):INDEX([1]Raw_Data!$B$2:$CM$1001,1000,MATCH(B96,[1]Raw_Data!$B$1:$CM$1,0)),INDEX([1]Raw_Data!$B$2:$CM$1001,1,MATCH(C96,[1]Raw_Data!$B$1:$CM$1,0)):INDEX([1]Raw_Data!$B$2:$CM$1001,1000,MATCH(C96,[1]Raw_Data!$B$1:$CM$1,0))),"판단불가"))</f>
        <v/>
      </c>
      <c r="E96" s="21" t="str">
        <f t="shared" si="2"/>
        <v/>
      </c>
      <c r="F96" s="21" t="str">
        <f t="shared" si="3"/>
        <v/>
      </c>
      <c r="G96" s="19"/>
      <c r="H96" s="19"/>
      <c r="I96" s="22"/>
    </row>
    <row r="97" spans="1:9" ht="17.399999999999999">
      <c r="A97" s="18" t="s">
        <v>195</v>
      </c>
      <c r="B97" s="19"/>
      <c r="C97" s="19"/>
      <c r="D97" s="20" t="str">
        <f>IF(OR(B97="",C97=""),"",IFERROR(CORREL(INDEX([1]Raw_Data!$B$2:$CM$1001,1,MATCH(B97,[1]Raw_Data!$B$1:$CM$1,0)):INDEX([1]Raw_Data!$B$2:$CM$1001,1000,MATCH(B97,[1]Raw_Data!$B$1:$CM$1,0)),INDEX([1]Raw_Data!$B$2:$CM$1001,1,MATCH(C97,[1]Raw_Data!$B$1:$CM$1,0)):INDEX([1]Raw_Data!$B$2:$CM$1001,1000,MATCH(C97,[1]Raw_Data!$B$1:$CM$1,0))),"판단불가"))</f>
        <v/>
      </c>
      <c r="E97" s="21" t="str">
        <f t="shared" si="2"/>
        <v/>
      </c>
      <c r="F97" s="21" t="str">
        <f t="shared" si="3"/>
        <v/>
      </c>
      <c r="G97" s="19"/>
      <c r="H97" s="19"/>
      <c r="I97" s="22"/>
    </row>
    <row r="98" spans="1:9" ht="17.399999999999999">
      <c r="A98" s="18" t="s">
        <v>196</v>
      </c>
      <c r="B98" s="19"/>
      <c r="C98" s="19"/>
      <c r="D98" s="20" t="str">
        <f>IF(OR(B98="",C98=""),"",IFERROR(CORREL(INDEX([1]Raw_Data!$B$2:$CM$1001,1,MATCH(B98,[1]Raw_Data!$B$1:$CM$1,0)):INDEX([1]Raw_Data!$B$2:$CM$1001,1000,MATCH(B98,[1]Raw_Data!$B$1:$CM$1,0)),INDEX([1]Raw_Data!$B$2:$CM$1001,1,MATCH(C98,[1]Raw_Data!$B$1:$CM$1,0)):INDEX([1]Raw_Data!$B$2:$CM$1001,1000,MATCH(C98,[1]Raw_Data!$B$1:$CM$1,0))),"판단불가"))</f>
        <v/>
      </c>
      <c r="E98" s="21" t="str">
        <f t="shared" si="2"/>
        <v/>
      </c>
      <c r="F98" s="21" t="str">
        <f t="shared" si="3"/>
        <v/>
      </c>
      <c r="G98" s="19"/>
      <c r="H98" s="19"/>
      <c r="I98" s="22"/>
    </row>
    <row r="99" spans="1:9" ht="17.399999999999999">
      <c r="A99" s="18" t="s">
        <v>197</v>
      </c>
      <c r="B99" s="19"/>
      <c r="C99" s="19"/>
      <c r="D99" s="20" t="str">
        <f>IF(OR(B99="",C99=""),"",IFERROR(CORREL(INDEX([1]Raw_Data!$B$2:$CM$1001,1,MATCH(B99,[1]Raw_Data!$B$1:$CM$1,0)):INDEX([1]Raw_Data!$B$2:$CM$1001,1000,MATCH(B99,[1]Raw_Data!$B$1:$CM$1,0)),INDEX([1]Raw_Data!$B$2:$CM$1001,1,MATCH(C99,[1]Raw_Data!$B$1:$CM$1,0)):INDEX([1]Raw_Data!$B$2:$CM$1001,1000,MATCH(C99,[1]Raw_Data!$B$1:$CM$1,0))),"판단불가"))</f>
        <v/>
      </c>
      <c r="E99" s="21" t="str">
        <f t="shared" si="2"/>
        <v/>
      </c>
      <c r="F99" s="21" t="str">
        <f t="shared" si="3"/>
        <v/>
      </c>
      <c r="G99" s="19"/>
      <c r="H99" s="19"/>
      <c r="I99" s="22"/>
    </row>
    <row r="100" spans="1:9" ht="17.399999999999999">
      <c r="A100" s="18" t="s">
        <v>198</v>
      </c>
      <c r="B100" s="19"/>
      <c r="C100" s="19"/>
      <c r="D100" s="20" t="str">
        <f>IF(OR(B100="",C100=""),"",IFERROR(CORREL(INDEX([1]Raw_Data!$B$2:$CM$1001,1,MATCH(B100,[1]Raw_Data!$B$1:$CM$1,0)):INDEX([1]Raw_Data!$B$2:$CM$1001,1000,MATCH(B100,[1]Raw_Data!$B$1:$CM$1,0)),INDEX([1]Raw_Data!$B$2:$CM$1001,1,MATCH(C100,[1]Raw_Data!$B$1:$CM$1,0)):INDEX([1]Raw_Data!$B$2:$CM$1001,1000,MATCH(C100,[1]Raw_Data!$B$1:$CM$1,0))),"판단불가"))</f>
        <v/>
      </c>
      <c r="E100" s="21" t="str">
        <f t="shared" si="2"/>
        <v/>
      </c>
      <c r="F100" s="21" t="str">
        <f t="shared" si="3"/>
        <v/>
      </c>
      <c r="G100" s="19"/>
      <c r="H100" s="19"/>
      <c r="I100" s="22"/>
    </row>
    <row r="101" spans="1:9" ht="17.399999999999999">
      <c r="A101" s="18" t="s">
        <v>199</v>
      </c>
      <c r="B101" s="19"/>
      <c r="C101" s="19"/>
      <c r="D101" s="20" t="str">
        <f>IF(OR(B101="",C101=""),"",IFERROR(CORREL(INDEX([1]Raw_Data!$B$2:$CM$1001,1,MATCH(B101,[1]Raw_Data!$B$1:$CM$1,0)):INDEX([1]Raw_Data!$B$2:$CM$1001,1000,MATCH(B101,[1]Raw_Data!$B$1:$CM$1,0)),INDEX([1]Raw_Data!$B$2:$CM$1001,1,MATCH(C101,[1]Raw_Data!$B$1:$CM$1,0)):INDEX([1]Raw_Data!$B$2:$CM$1001,1000,MATCH(C101,[1]Raw_Data!$B$1:$CM$1,0))),"판단불가"))</f>
        <v/>
      </c>
      <c r="E101" s="21" t="str">
        <f t="shared" si="2"/>
        <v/>
      </c>
      <c r="F101" s="21" t="str">
        <f t="shared" si="3"/>
        <v/>
      </c>
      <c r="G101" s="19"/>
      <c r="H101" s="19"/>
      <c r="I101" s="22"/>
    </row>
    <row r="102" spans="1:9" ht="17.399999999999999">
      <c r="A102" s="18" t="s">
        <v>200</v>
      </c>
      <c r="B102" s="19"/>
      <c r="C102" s="19"/>
      <c r="D102" s="20" t="str">
        <f>IF(OR(B102="",C102=""),"",IFERROR(CORREL(INDEX([1]Raw_Data!$B$2:$CM$1001,1,MATCH(B102,[1]Raw_Data!$B$1:$CM$1,0)):INDEX([1]Raw_Data!$B$2:$CM$1001,1000,MATCH(B102,[1]Raw_Data!$B$1:$CM$1,0)),INDEX([1]Raw_Data!$B$2:$CM$1001,1,MATCH(C102,[1]Raw_Data!$B$1:$CM$1,0)):INDEX([1]Raw_Data!$B$2:$CM$1001,1000,MATCH(C102,[1]Raw_Data!$B$1:$CM$1,0))),"판단불가"))</f>
        <v/>
      </c>
      <c r="E102" s="21" t="str">
        <f t="shared" si="2"/>
        <v/>
      </c>
      <c r="F102" s="21" t="str">
        <f t="shared" si="3"/>
        <v/>
      </c>
      <c r="G102" s="19"/>
      <c r="H102" s="19"/>
      <c r="I102" s="22"/>
    </row>
    <row r="103" spans="1:9" ht="17.399999999999999">
      <c r="A103" s="18" t="s">
        <v>201</v>
      </c>
      <c r="B103" s="19"/>
      <c r="C103" s="19"/>
      <c r="D103" s="20" t="str">
        <f>IF(OR(B103="",C103=""),"",IFERROR(CORREL(INDEX([1]Raw_Data!$B$2:$CM$1001,1,MATCH(B103,[1]Raw_Data!$B$1:$CM$1,0)):INDEX([1]Raw_Data!$B$2:$CM$1001,1000,MATCH(B103,[1]Raw_Data!$B$1:$CM$1,0)),INDEX([1]Raw_Data!$B$2:$CM$1001,1,MATCH(C103,[1]Raw_Data!$B$1:$CM$1,0)):INDEX([1]Raw_Data!$B$2:$CM$1001,1000,MATCH(C103,[1]Raw_Data!$B$1:$CM$1,0))),"판단불가"))</f>
        <v/>
      </c>
      <c r="E103" s="21" t="str">
        <f t="shared" si="2"/>
        <v/>
      </c>
      <c r="F103" s="21" t="str">
        <f t="shared" si="3"/>
        <v/>
      </c>
      <c r="G103" s="19"/>
      <c r="H103" s="19"/>
      <c r="I103" s="22"/>
    </row>
    <row r="104" spans="1:9" ht="17.399999999999999">
      <c r="A104" s="18" t="s">
        <v>202</v>
      </c>
      <c r="B104" s="19"/>
      <c r="C104" s="19"/>
      <c r="D104" s="20" t="str">
        <f>IF(OR(B104="",C104=""),"",IFERROR(CORREL(INDEX([1]Raw_Data!$B$2:$CM$1001,1,MATCH(B104,[1]Raw_Data!$B$1:$CM$1,0)):INDEX([1]Raw_Data!$B$2:$CM$1001,1000,MATCH(B104,[1]Raw_Data!$B$1:$CM$1,0)),INDEX([1]Raw_Data!$B$2:$CM$1001,1,MATCH(C104,[1]Raw_Data!$B$1:$CM$1,0)):INDEX([1]Raw_Data!$B$2:$CM$1001,1000,MATCH(C104,[1]Raw_Data!$B$1:$CM$1,0))),"판단불가"))</f>
        <v/>
      </c>
      <c r="E104" s="21" t="str">
        <f t="shared" si="2"/>
        <v/>
      </c>
      <c r="F104" s="21" t="str">
        <f t="shared" si="3"/>
        <v/>
      </c>
      <c r="G104" s="19"/>
      <c r="H104" s="19"/>
      <c r="I104" s="22"/>
    </row>
    <row r="105" spans="1:9" ht="17.399999999999999">
      <c r="A105" s="18" t="s">
        <v>203</v>
      </c>
      <c r="B105" s="19"/>
      <c r="C105" s="19"/>
      <c r="D105" s="20" t="str">
        <f>IF(OR(B105="",C105=""),"",IFERROR(CORREL(INDEX([1]Raw_Data!$B$2:$CM$1001,1,MATCH(B105,[1]Raw_Data!$B$1:$CM$1,0)):INDEX([1]Raw_Data!$B$2:$CM$1001,1000,MATCH(B105,[1]Raw_Data!$B$1:$CM$1,0)),INDEX([1]Raw_Data!$B$2:$CM$1001,1,MATCH(C105,[1]Raw_Data!$B$1:$CM$1,0)):INDEX([1]Raw_Data!$B$2:$CM$1001,1000,MATCH(C105,[1]Raw_Data!$B$1:$CM$1,0))),"판단불가"))</f>
        <v/>
      </c>
      <c r="E105" s="21" t="str">
        <f t="shared" si="2"/>
        <v/>
      </c>
      <c r="F105" s="21" t="str">
        <f t="shared" si="3"/>
        <v/>
      </c>
      <c r="G105" s="19"/>
      <c r="H105" s="19"/>
      <c r="I105" s="22"/>
    </row>
    <row r="106" spans="1:9" ht="17.399999999999999">
      <c r="A106" s="18" t="s">
        <v>204</v>
      </c>
      <c r="B106" s="19"/>
      <c r="C106" s="19"/>
      <c r="D106" s="20" t="str">
        <f>IF(OR(B106="",C106=""),"",IFERROR(CORREL(INDEX([1]Raw_Data!$B$2:$CM$1001,1,MATCH(B106,[1]Raw_Data!$B$1:$CM$1,0)):INDEX([1]Raw_Data!$B$2:$CM$1001,1000,MATCH(B106,[1]Raw_Data!$B$1:$CM$1,0)),INDEX([1]Raw_Data!$B$2:$CM$1001,1,MATCH(C106,[1]Raw_Data!$B$1:$CM$1,0)):INDEX([1]Raw_Data!$B$2:$CM$1001,1000,MATCH(C106,[1]Raw_Data!$B$1:$CM$1,0))),"판단불가"))</f>
        <v/>
      </c>
      <c r="E106" s="21" t="str">
        <f t="shared" si="2"/>
        <v/>
      </c>
      <c r="F106" s="21" t="str">
        <f t="shared" si="3"/>
        <v/>
      </c>
      <c r="G106" s="19"/>
      <c r="H106" s="19"/>
      <c r="I106" s="22"/>
    </row>
    <row r="107" spans="1:9" ht="17.399999999999999">
      <c r="A107" s="18" t="s">
        <v>205</v>
      </c>
      <c r="B107" s="19"/>
      <c r="C107" s="19"/>
      <c r="D107" s="20" t="str">
        <f>IF(OR(B107="",C107=""),"",IFERROR(CORREL(INDEX([1]Raw_Data!$B$2:$CM$1001,1,MATCH(B107,[1]Raw_Data!$B$1:$CM$1,0)):INDEX([1]Raw_Data!$B$2:$CM$1001,1000,MATCH(B107,[1]Raw_Data!$B$1:$CM$1,0)),INDEX([1]Raw_Data!$B$2:$CM$1001,1,MATCH(C107,[1]Raw_Data!$B$1:$CM$1,0)):INDEX([1]Raw_Data!$B$2:$CM$1001,1000,MATCH(C107,[1]Raw_Data!$B$1:$CM$1,0))),"판단불가"))</f>
        <v/>
      </c>
      <c r="E107" s="21" t="str">
        <f t="shared" si="2"/>
        <v/>
      </c>
      <c r="F107" s="21" t="str">
        <f t="shared" si="3"/>
        <v/>
      </c>
      <c r="G107" s="19"/>
      <c r="H107" s="19"/>
      <c r="I107" s="22"/>
    </row>
    <row r="108" spans="1:9" ht="17.399999999999999">
      <c r="A108" s="18" t="s">
        <v>206</v>
      </c>
      <c r="B108" s="19"/>
      <c r="C108" s="19"/>
      <c r="D108" s="20" t="str">
        <f>IF(OR(B108="",C108=""),"",IFERROR(CORREL(INDEX([1]Raw_Data!$B$2:$CM$1001,1,MATCH(B108,[1]Raw_Data!$B$1:$CM$1,0)):INDEX([1]Raw_Data!$B$2:$CM$1001,1000,MATCH(B108,[1]Raw_Data!$B$1:$CM$1,0)),INDEX([1]Raw_Data!$B$2:$CM$1001,1,MATCH(C108,[1]Raw_Data!$B$1:$CM$1,0)):INDEX([1]Raw_Data!$B$2:$CM$1001,1000,MATCH(C108,[1]Raw_Data!$B$1:$CM$1,0))),"판단불가"))</f>
        <v/>
      </c>
      <c r="E108" s="21" t="str">
        <f t="shared" si="2"/>
        <v/>
      </c>
      <c r="F108" s="21" t="str">
        <f t="shared" si="3"/>
        <v/>
      </c>
      <c r="G108" s="19"/>
      <c r="H108" s="19"/>
      <c r="I108" s="22"/>
    </row>
    <row r="109" spans="1:9" ht="17.399999999999999">
      <c r="A109" s="18" t="s">
        <v>207</v>
      </c>
      <c r="B109" s="19"/>
      <c r="C109" s="19"/>
      <c r="D109" s="20" t="str">
        <f>IF(OR(B109="",C109=""),"",IFERROR(CORREL(INDEX([1]Raw_Data!$B$2:$CM$1001,1,MATCH(B109,[1]Raw_Data!$B$1:$CM$1,0)):INDEX([1]Raw_Data!$B$2:$CM$1001,1000,MATCH(B109,[1]Raw_Data!$B$1:$CM$1,0)),INDEX([1]Raw_Data!$B$2:$CM$1001,1,MATCH(C109,[1]Raw_Data!$B$1:$CM$1,0)):INDEX([1]Raw_Data!$B$2:$CM$1001,1000,MATCH(C109,[1]Raw_Data!$B$1:$CM$1,0))),"판단불가"))</f>
        <v/>
      </c>
      <c r="E109" s="21" t="str">
        <f t="shared" si="2"/>
        <v/>
      </c>
      <c r="F109" s="21" t="str">
        <f t="shared" si="3"/>
        <v/>
      </c>
      <c r="G109" s="19"/>
      <c r="H109" s="19"/>
      <c r="I109" s="22"/>
    </row>
    <row r="110" spans="1:9" ht="17.399999999999999">
      <c r="A110" s="18" t="s">
        <v>208</v>
      </c>
      <c r="B110" s="19"/>
      <c r="C110" s="19"/>
      <c r="D110" s="20" t="str">
        <f>IF(OR(B110="",C110=""),"",IFERROR(CORREL(INDEX([1]Raw_Data!$B$2:$CM$1001,1,MATCH(B110,[1]Raw_Data!$B$1:$CM$1,0)):INDEX([1]Raw_Data!$B$2:$CM$1001,1000,MATCH(B110,[1]Raw_Data!$B$1:$CM$1,0)),INDEX([1]Raw_Data!$B$2:$CM$1001,1,MATCH(C110,[1]Raw_Data!$B$1:$CM$1,0)):INDEX([1]Raw_Data!$B$2:$CM$1001,1000,MATCH(C110,[1]Raw_Data!$B$1:$CM$1,0))),"판단불가"))</f>
        <v/>
      </c>
      <c r="E110" s="21" t="str">
        <f t="shared" si="2"/>
        <v/>
      </c>
      <c r="F110" s="21" t="str">
        <f t="shared" si="3"/>
        <v/>
      </c>
      <c r="G110" s="19"/>
      <c r="H110" s="19"/>
      <c r="I110" s="22"/>
    </row>
    <row r="111" spans="1:9" ht="17.399999999999999">
      <c r="A111" s="18" t="s">
        <v>209</v>
      </c>
      <c r="B111" s="19"/>
      <c r="C111" s="19"/>
      <c r="D111" s="20" t="str">
        <f>IF(OR(B111="",C111=""),"",IFERROR(CORREL(INDEX([1]Raw_Data!$B$2:$CM$1001,1,MATCH(B111,[1]Raw_Data!$B$1:$CM$1,0)):INDEX([1]Raw_Data!$B$2:$CM$1001,1000,MATCH(B111,[1]Raw_Data!$B$1:$CM$1,0)),INDEX([1]Raw_Data!$B$2:$CM$1001,1,MATCH(C111,[1]Raw_Data!$B$1:$CM$1,0)):INDEX([1]Raw_Data!$B$2:$CM$1001,1000,MATCH(C111,[1]Raw_Data!$B$1:$CM$1,0))),"판단불가"))</f>
        <v/>
      </c>
      <c r="E111" s="21" t="str">
        <f t="shared" si="2"/>
        <v/>
      </c>
      <c r="F111" s="21" t="str">
        <f t="shared" si="3"/>
        <v/>
      </c>
      <c r="G111" s="19"/>
      <c r="H111" s="19"/>
      <c r="I111" s="22"/>
    </row>
    <row r="112" spans="1:9" ht="17.399999999999999">
      <c r="A112" s="18" t="s">
        <v>210</v>
      </c>
      <c r="B112" s="19"/>
      <c r="C112" s="19"/>
      <c r="D112" s="20" t="str">
        <f>IF(OR(B112="",C112=""),"",IFERROR(CORREL(INDEX([1]Raw_Data!$B$2:$CM$1001,1,MATCH(B112,[1]Raw_Data!$B$1:$CM$1,0)):INDEX([1]Raw_Data!$B$2:$CM$1001,1000,MATCH(B112,[1]Raw_Data!$B$1:$CM$1,0)),INDEX([1]Raw_Data!$B$2:$CM$1001,1,MATCH(C112,[1]Raw_Data!$B$1:$CM$1,0)):INDEX([1]Raw_Data!$B$2:$CM$1001,1000,MATCH(C112,[1]Raw_Data!$B$1:$CM$1,0))),"판단불가"))</f>
        <v/>
      </c>
      <c r="E112" s="21" t="str">
        <f t="shared" si="2"/>
        <v/>
      </c>
      <c r="F112" s="21" t="str">
        <f t="shared" si="3"/>
        <v/>
      </c>
      <c r="G112" s="19"/>
      <c r="H112" s="19"/>
      <c r="I112" s="22"/>
    </row>
    <row r="113" spans="1:9" ht="17.399999999999999">
      <c r="A113" s="18" t="s">
        <v>211</v>
      </c>
      <c r="B113" s="19"/>
      <c r="C113" s="19"/>
      <c r="D113" s="20" t="str">
        <f>IF(OR(B113="",C113=""),"",IFERROR(CORREL(INDEX([1]Raw_Data!$B$2:$CM$1001,1,MATCH(B113,[1]Raw_Data!$B$1:$CM$1,0)):INDEX([1]Raw_Data!$B$2:$CM$1001,1000,MATCH(B113,[1]Raw_Data!$B$1:$CM$1,0)),INDEX([1]Raw_Data!$B$2:$CM$1001,1,MATCH(C113,[1]Raw_Data!$B$1:$CM$1,0)):INDEX([1]Raw_Data!$B$2:$CM$1001,1000,MATCH(C113,[1]Raw_Data!$B$1:$CM$1,0))),"판단불가"))</f>
        <v/>
      </c>
      <c r="E113" s="21" t="str">
        <f t="shared" si="2"/>
        <v/>
      </c>
      <c r="F113" s="21" t="str">
        <f t="shared" si="3"/>
        <v/>
      </c>
      <c r="G113" s="19"/>
      <c r="H113" s="19"/>
      <c r="I113" s="22"/>
    </row>
    <row r="114" spans="1:9" ht="17.399999999999999">
      <c r="A114" s="18" t="s">
        <v>212</v>
      </c>
      <c r="B114" s="19"/>
      <c r="C114" s="19"/>
      <c r="D114" s="20" t="str">
        <f>IF(OR(B114="",C114=""),"",IFERROR(CORREL(INDEX([1]Raw_Data!$B$2:$CM$1001,1,MATCH(B114,[1]Raw_Data!$B$1:$CM$1,0)):INDEX([1]Raw_Data!$B$2:$CM$1001,1000,MATCH(B114,[1]Raw_Data!$B$1:$CM$1,0)),INDEX([1]Raw_Data!$B$2:$CM$1001,1,MATCH(C114,[1]Raw_Data!$B$1:$CM$1,0)):INDEX([1]Raw_Data!$B$2:$CM$1001,1000,MATCH(C114,[1]Raw_Data!$B$1:$CM$1,0))),"판단불가"))</f>
        <v/>
      </c>
      <c r="E114" s="21" t="str">
        <f t="shared" si="2"/>
        <v/>
      </c>
      <c r="F114" s="21" t="str">
        <f t="shared" si="3"/>
        <v/>
      </c>
      <c r="G114" s="19"/>
      <c r="H114" s="19"/>
      <c r="I114" s="22"/>
    </row>
    <row r="115" spans="1:9" ht="17.399999999999999">
      <c r="A115" s="18" t="s">
        <v>213</v>
      </c>
      <c r="B115" s="19"/>
      <c r="C115" s="19"/>
      <c r="D115" s="20" t="str">
        <f>IF(OR(B115="",C115=""),"",IFERROR(CORREL(INDEX([1]Raw_Data!$B$2:$CM$1001,1,MATCH(B115,[1]Raw_Data!$B$1:$CM$1,0)):INDEX([1]Raw_Data!$B$2:$CM$1001,1000,MATCH(B115,[1]Raw_Data!$B$1:$CM$1,0)),INDEX([1]Raw_Data!$B$2:$CM$1001,1,MATCH(C115,[1]Raw_Data!$B$1:$CM$1,0)):INDEX([1]Raw_Data!$B$2:$CM$1001,1000,MATCH(C115,[1]Raw_Data!$B$1:$CM$1,0))),"판단불가"))</f>
        <v/>
      </c>
      <c r="E115" s="21" t="str">
        <f t="shared" si="2"/>
        <v/>
      </c>
      <c r="F115" s="21" t="str">
        <f t="shared" si="3"/>
        <v/>
      </c>
      <c r="G115" s="19"/>
      <c r="H115" s="19"/>
      <c r="I115" s="22"/>
    </row>
    <row r="116" spans="1:9" ht="17.399999999999999">
      <c r="A116" s="18" t="s">
        <v>214</v>
      </c>
      <c r="B116" s="19"/>
      <c r="C116" s="19"/>
      <c r="D116" s="20" t="str">
        <f>IF(OR(B116="",C116=""),"",IFERROR(CORREL(INDEX([1]Raw_Data!$B$2:$CM$1001,1,MATCH(B116,[1]Raw_Data!$B$1:$CM$1,0)):INDEX([1]Raw_Data!$B$2:$CM$1001,1000,MATCH(B116,[1]Raw_Data!$B$1:$CM$1,0)),INDEX([1]Raw_Data!$B$2:$CM$1001,1,MATCH(C116,[1]Raw_Data!$B$1:$CM$1,0)):INDEX([1]Raw_Data!$B$2:$CM$1001,1000,MATCH(C116,[1]Raw_Data!$B$1:$CM$1,0))),"판단불가"))</f>
        <v/>
      </c>
      <c r="E116" s="21" t="str">
        <f t="shared" si="2"/>
        <v/>
      </c>
      <c r="F116" s="21" t="str">
        <f t="shared" si="3"/>
        <v/>
      </c>
      <c r="G116" s="19"/>
      <c r="H116" s="19"/>
      <c r="I116" s="22"/>
    </row>
    <row r="117" spans="1:9" ht="17.399999999999999">
      <c r="A117" s="18" t="s">
        <v>215</v>
      </c>
      <c r="B117" s="19"/>
      <c r="C117" s="19"/>
      <c r="D117" s="20" t="str">
        <f>IF(OR(B117="",C117=""),"",IFERROR(CORREL(INDEX([1]Raw_Data!$B$2:$CM$1001,1,MATCH(B117,[1]Raw_Data!$B$1:$CM$1,0)):INDEX([1]Raw_Data!$B$2:$CM$1001,1000,MATCH(B117,[1]Raw_Data!$B$1:$CM$1,0)),INDEX([1]Raw_Data!$B$2:$CM$1001,1,MATCH(C117,[1]Raw_Data!$B$1:$CM$1,0)):INDEX([1]Raw_Data!$B$2:$CM$1001,1000,MATCH(C117,[1]Raw_Data!$B$1:$CM$1,0))),"판단불가"))</f>
        <v/>
      </c>
      <c r="E117" s="21" t="str">
        <f t="shared" si="2"/>
        <v/>
      </c>
      <c r="F117" s="21" t="str">
        <f t="shared" si="3"/>
        <v/>
      </c>
      <c r="G117" s="19"/>
      <c r="H117" s="19"/>
      <c r="I117" s="22"/>
    </row>
    <row r="118" spans="1:9" ht="17.399999999999999">
      <c r="A118" s="18" t="s">
        <v>216</v>
      </c>
      <c r="B118" s="19"/>
      <c r="C118" s="19"/>
      <c r="D118" s="20" t="str">
        <f>IF(OR(B118="",C118=""),"",IFERROR(CORREL(INDEX([1]Raw_Data!$B$2:$CM$1001,1,MATCH(B118,[1]Raw_Data!$B$1:$CM$1,0)):INDEX([1]Raw_Data!$B$2:$CM$1001,1000,MATCH(B118,[1]Raw_Data!$B$1:$CM$1,0)),INDEX([1]Raw_Data!$B$2:$CM$1001,1,MATCH(C118,[1]Raw_Data!$B$1:$CM$1,0)):INDEX([1]Raw_Data!$B$2:$CM$1001,1000,MATCH(C118,[1]Raw_Data!$B$1:$CM$1,0))),"판단불가"))</f>
        <v/>
      </c>
      <c r="E118" s="21" t="str">
        <f t="shared" si="2"/>
        <v/>
      </c>
      <c r="F118" s="21" t="str">
        <f t="shared" si="3"/>
        <v/>
      </c>
      <c r="G118" s="19"/>
      <c r="H118" s="19"/>
      <c r="I118" s="22"/>
    </row>
    <row r="119" spans="1:9" ht="17.399999999999999">
      <c r="A119" s="18" t="s">
        <v>217</v>
      </c>
      <c r="B119" s="19"/>
      <c r="C119" s="19"/>
      <c r="D119" s="20" t="str">
        <f>IF(OR(B119="",C119=""),"",IFERROR(CORREL(INDEX([1]Raw_Data!$B$2:$CM$1001,1,MATCH(B119,[1]Raw_Data!$B$1:$CM$1,0)):INDEX([1]Raw_Data!$B$2:$CM$1001,1000,MATCH(B119,[1]Raw_Data!$B$1:$CM$1,0)),INDEX([1]Raw_Data!$B$2:$CM$1001,1,MATCH(C119,[1]Raw_Data!$B$1:$CM$1,0)):INDEX([1]Raw_Data!$B$2:$CM$1001,1000,MATCH(C119,[1]Raw_Data!$B$1:$CM$1,0))),"판단불가"))</f>
        <v/>
      </c>
      <c r="E119" s="21" t="str">
        <f t="shared" si="2"/>
        <v/>
      </c>
      <c r="F119" s="21" t="str">
        <f t="shared" si="3"/>
        <v/>
      </c>
      <c r="G119" s="19"/>
      <c r="H119" s="19"/>
      <c r="I119" s="22"/>
    </row>
    <row r="120" spans="1:9" ht="17.399999999999999">
      <c r="A120" s="18" t="s">
        <v>218</v>
      </c>
      <c r="B120" s="19"/>
      <c r="C120" s="19"/>
      <c r="D120" s="20" t="str">
        <f>IF(OR(B120="",C120=""),"",IFERROR(CORREL(INDEX([1]Raw_Data!$B$2:$CM$1001,1,MATCH(B120,[1]Raw_Data!$B$1:$CM$1,0)):INDEX([1]Raw_Data!$B$2:$CM$1001,1000,MATCH(B120,[1]Raw_Data!$B$1:$CM$1,0)),INDEX([1]Raw_Data!$B$2:$CM$1001,1,MATCH(C120,[1]Raw_Data!$B$1:$CM$1,0)):INDEX([1]Raw_Data!$B$2:$CM$1001,1000,MATCH(C120,[1]Raw_Data!$B$1:$CM$1,0))),"판단불가"))</f>
        <v/>
      </c>
      <c r="E120" s="21" t="str">
        <f t="shared" si="2"/>
        <v/>
      </c>
      <c r="F120" s="21" t="str">
        <f t="shared" si="3"/>
        <v/>
      </c>
      <c r="G120" s="19"/>
      <c r="H120" s="19"/>
      <c r="I120" s="22"/>
    </row>
    <row r="121" spans="1:9" ht="17.399999999999999">
      <c r="A121" s="18" t="s">
        <v>219</v>
      </c>
      <c r="B121" s="19"/>
      <c r="C121" s="19"/>
      <c r="D121" s="20" t="str">
        <f>IF(OR(B121="",C121=""),"",IFERROR(CORREL(INDEX([1]Raw_Data!$B$2:$CM$1001,1,MATCH(B121,[1]Raw_Data!$B$1:$CM$1,0)):INDEX([1]Raw_Data!$B$2:$CM$1001,1000,MATCH(B121,[1]Raw_Data!$B$1:$CM$1,0)),INDEX([1]Raw_Data!$B$2:$CM$1001,1,MATCH(C121,[1]Raw_Data!$B$1:$CM$1,0)):INDEX([1]Raw_Data!$B$2:$CM$1001,1000,MATCH(C121,[1]Raw_Data!$B$1:$CM$1,0))),"판단불가"))</f>
        <v/>
      </c>
      <c r="E121" s="21" t="str">
        <f t="shared" si="2"/>
        <v/>
      </c>
      <c r="F121" s="21" t="str">
        <f t="shared" si="3"/>
        <v/>
      </c>
      <c r="G121" s="19"/>
      <c r="H121" s="19"/>
      <c r="I121" s="22"/>
    </row>
    <row r="122" spans="1:9" ht="17.399999999999999">
      <c r="A122" s="18" t="s">
        <v>220</v>
      </c>
      <c r="B122" s="19"/>
      <c r="C122" s="19"/>
      <c r="D122" s="20" t="str">
        <f>IF(OR(B122="",C122=""),"",IFERROR(CORREL(INDEX([1]Raw_Data!$B$2:$CM$1001,1,MATCH(B122,[1]Raw_Data!$B$1:$CM$1,0)):INDEX([1]Raw_Data!$B$2:$CM$1001,1000,MATCH(B122,[1]Raw_Data!$B$1:$CM$1,0)),INDEX([1]Raw_Data!$B$2:$CM$1001,1,MATCH(C122,[1]Raw_Data!$B$1:$CM$1,0)):INDEX([1]Raw_Data!$B$2:$CM$1001,1000,MATCH(C122,[1]Raw_Data!$B$1:$CM$1,0))),"판단불가"))</f>
        <v/>
      </c>
      <c r="E122" s="21" t="str">
        <f t="shared" si="2"/>
        <v/>
      </c>
      <c r="F122" s="21" t="str">
        <f t="shared" si="3"/>
        <v/>
      </c>
      <c r="G122" s="19"/>
      <c r="H122" s="19"/>
      <c r="I122" s="22"/>
    </row>
    <row r="123" spans="1:9" ht="17.399999999999999">
      <c r="A123" s="18" t="s">
        <v>221</v>
      </c>
      <c r="B123" s="19"/>
      <c r="C123" s="19"/>
      <c r="D123" s="20" t="str">
        <f>IF(OR(B123="",C123=""),"",IFERROR(CORREL(INDEX([1]Raw_Data!$B$2:$CM$1001,1,MATCH(B123,[1]Raw_Data!$B$1:$CM$1,0)):INDEX([1]Raw_Data!$B$2:$CM$1001,1000,MATCH(B123,[1]Raw_Data!$B$1:$CM$1,0)),INDEX([1]Raw_Data!$B$2:$CM$1001,1,MATCH(C123,[1]Raw_Data!$B$1:$CM$1,0)):INDEX([1]Raw_Data!$B$2:$CM$1001,1000,MATCH(C123,[1]Raw_Data!$B$1:$CM$1,0))),"판단불가"))</f>
        <v/>
      </c>
      <c r="E123" s="21" t="str">
        <f t="shared" si="2"/>
        <v/>
      </c>
      <c r="F123" s="21" t="str">
        <f t="shared" si="3"/>
        <v/>
      </c>
      <c r="G123" s="19"/>
      <c r="H123" s="19"/>
      <c r="I123" s="22"/>
    </row>
    <row r="124" spans="1:9" ht="17.399999999999999">
      <c r="A124" s="18" t="s">
        <v>222</v>
      </c>
      <c r="B124" s="19"/>
      <c r="C124" s="19"/>
      <c r="D124" s="20" t="str">
        <f>IF(OR(B124="",C124=""),"",IFERROR(CORREL(INDEX([1]Raw_Data!$B$2:$CM$1001,1,MATCH(B124,[1]Raw_Data!$B$1:$CM$1,0)):INDEX([1]Raw_Data!$B$2:$CM$1001,1000,MATCH(B124,[1]Raw_Data!$B$1:$CM$1,0)),INDEX([1]Raw_Data!$B$2:$CM$1001,1,MATCH(C124,[1]Raw_Data!$B$1:$CM$1,0)):INDEX([1]Raw_Data!$B$2:$CM$1001,1000,MATCH(C124,[1]Raw_Data!$B$1:$CM$1,0))),"판단불가"))</f>
        <v/>
      </c>
      <c r="E124" s="21" t="str">
        <f t="shared" si="2"/>
        <v/>
      </c>
      <c r="F124" s="21" t="str">
        <f t="shared" si="3"/>
        <v/>
      </c>
      <c r="G124" s="19"/>
      <c r="H124" s="19"/>
      <c r="I124" s="22"/>
    </row>
    <row r="125" spans="1:9" ht="17.399999999999999">
      <c r="A125" s="18" t="s">
        <v>223</v>
      </c>
      <c r="B125" s="19"/>
      <c r="C125" s="19"/>
      <c r="D125" s="20" t="str">
        <f>IF(OR(B125="",C125=""),"",IFERROR(CORREL(INDEX([1]Raw_Data!$B$2:$CM$1001,1,MATCH(B125,[1]Raw_Data!$B$1:$CM$1,0)):INDEX([1]Raw_Data!$B$2:$CM$1001,1000,MATCH(B125,[1]Raw_Data!$B$1:$CM$1,0)),INDEX([1]Raw_Data!$B$2:$CM$1001,1,MATCH(C125,[1]Raw_Data!$B$1:$CM$1,0)):INDEX([1]Raw_Data!$B$2:$CM$1001,1000,MATCH(C125,[1]Raw_Data!$B$1:$CM$1,0))),"판단불가"))</f>
        <v/>
      </c>
      <c r="E125" s="21" t="str">
        <f t="shared" si="2"/>
        <v/>
      </c>
      <c r="F125" s="21" t="str">
        <f t="shared" si="3"/>
        <v/>
      </c>
      <c r="G125" s="19"/>
      <c r="H125" s="19"/>
      <c r="I125" s="22"/>
    </row>
    <row r="126" spans="1:9" ht="17.399999999999999">
      <c r="A126" s="18" t="s">
        <v>224</v>
      </c>
      <c r="B126" s="19"/>
      <c r="C126" s="19"/>
      <c r="D126" s="20" t="str">
        <f>IF(OR(B126="",C126=""),"",IFERROR(CORREL(INDEX([1]Raw_Data!$B$2:$CM$1001,1,MATCH(B126,[1]Raw_Data!$B$1:$CM$1,0)):INDEX([1]Raw_Data!$B$2:$CM$1001,1000,MATCH(B126,[1]Raw_Data!$B$1:$CM$1,0)),INDEX([1]Raw_Data!$B$2:$CM$1001,1,MATCH(C126,[1]Raw_Data!$B$1:$CM$1,0)):INDEX([1]Raw_Data!$B$2:$CM$1001,1000,MATCH(C126,[1]Raw_Data!$B$1:$CM$1,0))),"판단불가"))</f>
        <v/>
      </c>
      <c r="E126" s="21" t="str">
        <f t="shared" si="2"/>
        <v/>
      </c>
      <c r="F126" s="21" t="str">
        <f t="shared" si="3"/>
        <v/>
      </c>
      <c r="G126" s="19"/>
      <c r="H126" s="19"/>
      <c r="I126" s="22"/>
    </row>
    <row r="127" spans="1:9" ht="17.399999999999999">
      <c r="A127" s="18" t="s">
        <v>225</v>
      </c>
      <c r="B127" s="19"/>
      <c r="C127" s="19"/>
      <c r="D127" s="20" t="str">
        <f>IF(OR(B127="",C127=""),"",IFERROR(CORREL(INDEX([1]Raw_Data!$B$2:$CM$1001,1,MATCH(B127,[1]Raw_Data!$B$1:$CM$1,0)):INDEX([1]Raw_Data!$B$2:$CM$1001,1000,MATCH(B127,[1]Raw_Data!$B$1:$CM$1,0)),INDEX([1]Raw_Data!$B$2:$CM$1001,1,MATCH(C127,[1]Raw_Data!$B$1:$CM$1,0)):INDEX([1]Raw_Data!$B$2:$CM$1001,1000,MATCH(C127,[1]Raw_Data!$B$1:$CM$1,0))),"판단불가"))</f>
        <v/>
      </c>
      <c r="E127" s="21" t="str">
        <f t="shared" si="2"/>
        <v/>
      </c>
      <c r="F127" s="21" t="str">
        <f t="shared" si="3"/>
        <v/>
      </c>
      <c r="G127" s="19"/>
      <c r="H127" s="19"/>
      <c r="I127" s="22"/>
    </row>
    <row r="128" spans="1:9" ht="17.399999999999999">
      <c r="A128" s="18" t="s">
        <v>226</v>
      </c>
      <c r="B128" s="19"/>
      <c r="C128" s="19"/>
      <c r="D128" s="20" t="str">
        <f>IF(OR(B128="",C128=""),"",IFERROR(CORREL(INDEX([1]Raw_Data!$B$2:$CM$1001,1,MATCH(B128,[1]Raw_Data!$B$1:$CM$1,0)):INDEX([1]Raw_Data!$B$2:$CM$1001,1000,MATCH(B128,[1]Raw_Data!$B$1:$CM$1,0)),INDEX([1]Raw_Data!$B$2:$CM$1001,1,MATCH(C128,[1]Raw_Data!$B$1:$CM$1,0)):INDEX([1]Raw_Data!$B$2:$CM$1001,1000,MATCH(C128,[1]Raw_Data!$B$1:$CM$1,0))),"판단불가"))</f>
        <v/>
      </c>
      <c r="E128" s="21" t="str">
        <f t="shared" si="2"/>
        <v/>
      </c>
      <c r="F128" s="21" t="str">
        <f t="shared" si="3"/>
        <v/>
      </c>
      <c r="G128" s="19"/>
      <c r="H128" s="19"/>
      <c r="I128" s="22"/>
    </row>
    <row r="129" spans="1:9" ht="17.399999999999999">
      <c r="A129" s="18" t="s">
        <v>227</v>
      </c>
      <c r="B129" s="19"/>
      <c r="C129" s="19"/>
      <c r="D129" s="20" t="str">
        <f>IF(OR(B129="",C129=""),"",IFERROR(CORREL(INDEX([1]Raw_Data!$B$2:$CM$1001,1,MATCH(B129,[1]Raw_Data!$B$1:$CM$1,0)):INDEX([1]Raw_Data!$B$2:$CM$1001,1000,MATCH(B129,[1]Raw_Data!$B$1:$CM$1,0)),INDEX([1]Raw_Data!$B$2:$CM$1001,1,MATCH(C129,[1]Raw_Data!$B$1:$CM$1,0)):INDEX([1]Raw_Data!$B$2:$CM$1001,1000,MATCH(C129,[1]Raw_Data!$B$1:$CM$1,0))),"판단불가"))</f>
        <v/>
      </c>
      <c r="E129" s="21" t="str">
        <f t="shared" si="2"/>
        <v/>
      </c>
      <c r="F129" s="21" t="str">
        <f t="shared" si="3"/>
        <v/>
      </c>
      <c r="G129" s="19"/>
      <c r="H129" s="19"/>
      <c r="I129" s="22"/>
    </row>
    <row r="130" spans="1:9" ht="17.399999999999999">
      <c r="A130" s="18" t="s">
        <v>228</v>
      </c>
      <c r="B130" s="19"/>
      <c r="C130" s="19"/>
      <c r="D130" s="20" t="str">
        <f>IF(OR(B130="",C130=""),"",IFERROR(CORREL(INDEX([1]Raw_Data!$B$2:$CM$1001,1,MATCH(B130,[1]Raw_Data!$B$1:$CM$1,0)):INDEX([1]Raw_Data!$B$2:$CM$1001,1000,MATCH(B130,[1]Raw_Data!$B$1:$CM$1,0)),INDEX([1]Raw_Data!$B$2:$CM$1001,1,MATCH(C130,[1]Raw_Data!$B$1:$CM$1,0)):INDEX([1]Raw_Data!$B$2:$CM$1001,1000,MATCH(C130,[1]Raw_Data!$B$1:$CM$1,0))),"판단불가"))</f>
        <v/>
      </c>
      <c r="E130" s="21" t="str">
        <f t="shared" si="2"/>
        <v/>
      </c>
      <c r="F130" s="21" t="str">
        <f t="shared" si="3"/>
        <v/>
      </c>
      <c r="G130" s="19"/>
      <c r="H130" s="19"/>
      <c r="I130" s="22"/>
    </row>
    <row r="131" spans="1:9" ht="17.399999999999999">
      <c r="A131" s="18" t="s">
        <v>229</v>
      </c>
      <c r="B131" s="19"/>
      <c r="C131" s="19"/>
      <c r="D131" s="20" t="str">
        <f>IF(OR(B131="",C131=""),"",IFERROR(CORREL(INDEX([1]Raw_Data!$B$2:$CM$1001,1,MATCH(B131,[1]Raw_Data!$B$1:$CM$1,0)):INDEX([1]Raw_Data!$B$2:$CM$1001,1000,MATCH(B131,[1]Raw_Data!$B$1:$CM$1,0)),INDEX([1]Raw_Data!$B$2:$CM$1001,1,MATCH(C131,[1]Raw_Data!$B$1:$CM$1,0)):INDEX([1]Raw_Data!$B$2:$CM$1001,1000,MATCH(C131,[1]Raw_Data!$B$1:$CM$1,0))),"판단불가"))</f>
        <v/>
      </c>
      <c r="E131" s="21" t="str">
        <f t="shared" si="2"/>
        <v/>
      </c>
      <c r="F131" s="21" t="str">
        <f t="shared" si="3"/>
        <v/>
      </c>
      <c r="G131" s="19"/>
      <c r="H131" s="19"/>
      <c r="I131" s="22"/>
    </row>
    <row r="132" spans="1:9" ht="17.399999999999999">
      <c r="A132" s="18" t="s">
        <v>230</v>
      </c>
      <c r="B132" s="19"/>
      <c r="C132" s="19"/>
      <c r="D132" s="20" t="str">
        <f>IF(OR(B132="",C132=""),"",IFERROR(CORREL(INDEX([1]Raw_Data!$B$2:$CM$1001,1,MATCH(B132,[1]Raw_Data!$B$1:$CM$1,0)):INDEX([1]Raw_Data!$B$2:$CM$1001,1000,MATCH(B132,[1]Raw_Data!$B$1:$CM$1,0)),INDEX([1]Raw_Data!$B$2:$CM$1001,1,MATCH(C132,[1]Raw_Data!$B$1:$CM$1,0)):INDEX([1]Raw_Data!$B$2:$CM$1001,1000,MATCH(C132,[1]Raw_Data!$B$1:$CM$1,0))),"판단불가"))</f>
        <v/>
      </c>
      <c r="E132" s="21" t="str">
        <f t="shared" si="2"/>
        <v/>
      </c>
      <c r="F132" s="21" t="str">
        <f t="shared" si="3"/>
        <v/>
      </c>
      <c r="G132" s="19"/>
      <c r="H132" s="19"/>
      <c r="I132" s="22"/>
    </row>
    <row r="133" spans="1:9" ht="17.399999999999999">
      <c r="A133" s="18" t="s">
        <v>231</v>
      </c>
      <c r="B133" s="19"/>
      <c r="C133" s="19"/>
      <c r="D133" s="20" t="str">
        <f>IF(OR(B133="",C133=""),"",IFERROR(CORREL(INDEX([1]Raw_Data!$B$2:$CM$1001,1,MATCH(B133,[1]Raw_Data!$B$1:$CM$1,0)):INDEX([1]Raw_Data!$B$2:$CM$1001,1000,MATCH(B133,[1]Raw_Data!$B$1:$CM$1,0)),INDEX([1]Raw_Data!$B$2:$CM$1001,1,MATCH(C133,[1]Raw_Data!$B$1:$CM$1,0)):INDEX([1]Raw_Data!$B$2:$CM$1001,1000,MATCH(C133,[1]Raw_Data!$B$1:$CM$1,0))),"판단불가"))</f>
        <v/>
      </c>
      <c r="E133" s="21" t="str">
        <f t="shared" ref="E133:E196" si="4">IF(D133="","",IF(D133="판단불가","판단불가",IF(D133&gt;0,"양",IF(D133&lt;0,"음","없음"))))</f>
        <v/>
      </c>
      <c r="F133" s="21" t="str">
        <f t="shared" ref="F133:F196" si="5">IF(D133="","",IF(D133="판단불가","판단불가",IF(ABS(D133)&lt;0.2,"약함",IF(ABS(D133)&lt;0.5,"중간","강함"))))</f>
        <v/>
      </c>
      <c r="G133" s="19"/>
      <c r="H133" s="19"/>
      <c r="I133" s="22"/>
    </row>
    <row r="134" spans="1:9" ht="17.399999999999999">
      <c r="A134" s="18" t="s">
        <v>232</v>
      </c>
      <c r="B134" s="19"/>
      <c r="C134" s="19"/>
      <c r="D134" s="20" t="str">
        <f>IF(OR(B134="",C134=""),"",IFERROR(CORREL(INDEX([1]Raw_Data!$B$2:$CM$1001,1,MATCH(B134,[1]Raw_Data!$B$1:$CM$1,0)):INDEX([1]Raw_Data!$B$2:$CM$1001,1000,MATCH(B134,[1]Raw_Data!$B$1:$CM$1,0)),INDEX([1]Raw_Data!$B$2:$CM$1001,1,MATCH(C134,[1]Raw_Data!$B$1:$CM$1,0)):INDEX([1]Raw_Data!$B$2:$CM$1001,1000,MATCH(C134,[1]Raw_Data!$B$1:$CM$1,0))),"판단불가"))</f>
        <v/>
      </c>
      <c r="E134" s="21" t="str">
        <f t="shared" si="4"/>
        <v/>
      </c>
      <c r="F134" s="21" t="str">
        <f t="shared" si="5"/>
        <v/>
      </c>
      <c r="G134" s="19"/>
      <c r="H134" s="19"/>
      <c r="I134" s="22"/>
    </row>
    <row r="135" spans="1:9" ht="17.399999999999999">
      <c r="A135" s="18" t="s">
        <v>233</v>
      </c>
      <c r="B135" s="19"/>
      <c r="C135" s="19"/>
      <c r="D135" s="20" t="str">
        <f>IF(OR(B135="",C135=""),"",IFERROR(CORREL(INDEX([1]Raw_Data!$B$2:$CM$1001,1,MATCH(B135,[1]Raw_Data!$B$1:$CM$1,0)):INDEX([1]Raw_Data!$B$2:$CM$1001,1000,MATCH(B135,[1]Raw_Data!$B$1:$CM$1,0)),INDEX([1]Raw_Data!$B$2:$CM$1001,1,MATCH(C135,[1]Raw_Data!$B$1:$CM$1,0)):INDEX([1]Raw_Data!$B$2:$CM$1001,1000,MATCH(C135,[1]Raw_Data!$B$1:$CM$1,0))),"판단불가"))</f>
        <v/>
      </c>
      <c r="E135" s="21" t="str">
        <f t="shared" si="4"/>
        <v/>
      </c>
      <c r="F135" s="21" t="str">
        <f t="shared" si="5"/>
        <v/>
      </c>
      <c r="G135" s="19"/>
      <c r="H135" s="19"/>
      <c r="I135" s="22"/>
    </row>
    <row r="136" spans="1:9" ht="17.399999999999999">
      <c r="A136" s="18" t="s">
        <v>234</v>
      </c>
      <c r="B136" s="19"/>
      <c r="C136" s="19"/>
      <c r="D136" s="20" t="str">
        <f>IF(OR(B136="",C136=""),"",IFERROR(CORREL(INDEX([1]Raw_Data!$B$2:$CM$1001,1,MATCH(B136,[1]Raw_Data!$B$1:$CM$1,0)):INDEX([1]Raw_Data!$B$2:$CM$1001,1000,MATCH(B136,[1]Raw_Data!$B$1:$CM$1,0)),INDEX([1]Raw_Data!$B$2:$CM$1001,1,MATCH(C136,[1]Raw_Data!$B$1:$CM$1,0)):INDEX([1]Raw_Data!$B$2:$CM$1001,1000,MATCH(C136,[1]Raw_Data!$B$1:$CM$1,0))),"판단불가"))</f>
        <v/>
      </c>
      <c r="E136" s="21" t="str">
        <f t="shared" si="4"/>
        <v/>
      </c>
      <c r="F136" s="21" t="str">
        <f t="shared" si="5"/>
        <v/>
      </c>
      <c r="G136" s="19"/>
      <c r="H136" s="19"/>
      <c r="I136" s="22"/>
    </row>
    <row r="137" spans="1:9" ht="17.399999999999999">
      <c r="A137" s="18" t="s">
        <v>235</v>
      </c>
      <c r="B137" s="19"/>
      <c r="C137" s="19"/>
      <c r="D137" s="20" t="str">
        <f>IF(OR(B137="",C137=""),"",IFERROR(CORREL(INDEX([1]Raw_Data!$B$2:$CM$1001,1,MATCH(B137,[1]Raw_Data!$B$1:$CM$1,0)):INDEX([1]Raw_Data!$B$2:$CM$1001,1000,MATCH(B137,[1]Raw_Data!$B$1:$CM$1,0)),INDEX([1]Raw_Data!$B$2:$CM$1001,1,MATCH(C137,[1]Raw_Data!$B$1:$CM$1,0)):INDEX([1]Raw_Data!$B$2:$CM$1001,1000,MATCH(C137,[1]Raw_Data!$B$1:$CM$1,0))),"판단불가"))</f>
        <v/>
      </c>
      <c r="E137" s="21" t="str">
        <f t="shared" si="4"/>
        <v/>
      </c>
      <c r="F137" s="21" t="str">
        <f t="shared" si="5"/>
        <v/>
      </c>
      <c r="G137" s="19"/>
      <c r="H137" s="19"/>
      <c r="I137" s="22"/>
    </row>
    <row r="138" spans="1:9" ht="17.399999999999999">
      <c r="A138" s="18" t="s">
        <v>236</v>
      </c>
      <c r="B138" s="19"/>
      <c r="C138" s="19"/>
      <c r="D138" s="20" t="str">
        <f>IF(OR(B138="",C138=""),"",IFERROR(CORREL(INDEX([1]Raw_Data!$B$2:$CM$1001,1,MATCH(B138,[1]Raw_Data!$B$1:$CM$1,0)):INDEX([1]Raw_Data!$B$2:$CM$1001,1000,MATCH(B138,[1]Raw_Data!$B$1:$CM$1,0)),INDEX([1]Raw_Data!$B$2:$CM$1001,1,MATCH(C138,[1]Raw_Data!$B$1:$CM$1,0)):INDEX([1]Raw_Data!$B$2:$CM$1001,1000,MATCH(C138,[1]Raw_Data!$B$1:$CM$1,0))),"판단불가"))</f>
        <v/>
      </c>
      <c r="E138" s="21" t="str">
        <f t="shared" si="4"/>
        <v/>
      </c>
      <c r="F138" s="21" t="str">
        <f t="shared" si="5"/>
        <v/>
      </c>
      <c r="G138" s="19"/>
      <c r="H138" s="19"/>
      <c r="I138" s="22"/>
    </row>
    <row r="139" spans="1:9" ht="17.399999999999999">
      <c r="A139" s="18" t="s">
        <v>237</v>
      </c>
      <c r="B139" s="19"/>
      <c r="C139" s="19"/>
      <c r="D139" s="20" t="str">
        <f>IF(OR(B139="",C139=""),"",IFERROR(CORREL(INDEX([1]Raw_Data!$B$2:$CM$1001,1,MATCH(B139,[1]Raw_Data!$B$1:$CM$1,0)):INDEX([1]Raw_Data!$B$2:$CM$1001,1000,MATCH(B139,[1]Raw_Data!$B$1:$CM$1,0)),INDEX([1]Raw_Data!$B$2:$CM$1001,1,MATCH(C139,[1]Raw_Data!$B$1:$CM$1,0)):INDEX([1]Raw_Data!$B$2:$CM$1001,1000,MATCH(C139,[1]Raw_Data!$B$1:$CM$1,0))),"판단불가"))</f>
        <v/>
      </c>
      <c r="E139" s="21" t="str">
        <f t="shared" si="4"/>
        <v/>
      </c>
      <c r="F139" s="21" t="str">
        <f t="shared" si="5"/>
        <v/>
      </c>
      <c r="G139" s="19"/>
      <c r="H139" s="19"/>
      <c r="I139" s="22"/>
    </row>
    <row r="140" spans="1:9" ht="17.399999999999999">
      <c r="A140" s="18" t="s">
        <v>238</v>
      </c>
      <c r="B140" s="19"/>
      <c r="C140" s="19"/>
      <c r="D140" s="20" t="str">
        <f>IF(OR(B140="",C140=""),"",IFERROR(CORREL(INDEX([1]Raw_Data!$B$2:$CM$1001,1,MATCH(B140,[1]Raw_Data!$B$1:$CM$1,0)):INDEX([1]Raw_Data!$B$2:$CM$1001,1000,MATCH(B140,[1]Raw_Data!$B$1:$CM$1,0)),INDEX([1]Raw_Data!$B$2:$CM$1001,1,MATCH(C140,[1]Raw_Data!$B$1:$CM$1,0)):INDEX([1]Raw_Data!$B$2:$CM$1001,1000,MATCH(C140,[1]Raw_Data!$B$1:$CM$1,0))),"판단불가"))</f>
        <v/>
      </c>
      <c r="E140" s="21" t="str">
        <f t="shared" si="4"/>
        <v/>
      </c>
      <c r="F140" s="21" t="str">
        <f t="shared" si="5"/>
        <v/>
      </c>
      <c r="G140" s="19"/>
      <c r="H140" s="19"/>
      <c r="I140" s="22"/>
    </row>
    <row r="141" spans="1:9" ht="17.399999999999999">
      <c r="A141" s="18" t="s">
        <v>239</v>
      </c>
      <c r="B141" s="19"/>
      <c r="C141" s="19"/>
      <c r="D141" s="20" t="str">
        <f>IF(OR(B141="",C141=""),"",IFERROR(CORREL(INDEX([1]Raw_Data!$B$2:$CM$1001,1,MATCH(B141,[1]Raw_Data!$B$1:$CM$1,0)):INDEX([1]Raw_Data!$B$2:$CM$1001,1000,MATCH(B141,[1]Raw_Data!$B$1:$CM$1,0)),INDEX([1]Raw_Data!$B$2:$CM$1001,1,MATCH(C141,[1]Raw_Data!$B$1:$CM$1,0)):INDEX([1]Raw_Data!$B$2:$CM$1001,1000,MATCH(C141,[1]Raw_Data!$B$1:$CM$1,0))),"판단불가"))</f>
        <v/>
      </c>
      <c r="E141" s="21" t="str">
        <f t="shared" si="4"/>
        <v/>
      </c>
      <c r="F141" s="21" t="str">
        <f t="shared" si="5"/>
        <v/>
      </c>
      <c r="G141" s="19"/>
      <c r="H141" s="19"/>
      <c r="I141" s="22"/>
    </row>
    <row r="142" spans="1:9" ht="17.399999999999999">
      <c r="A142" s="18" t="s">
        <v>240</v>
      </c>
      <c r="B142" s="19"/>
      <c r="C142" s="19"/>
      <c r="D142" s="20" t="str">
        <f>IF(OR(B142="",C142=""),"",IFERROR(CORREL(INDEX([1]Raw_Data!$B$2:$CM$1001,1,MATCH(B142,[1]Raw_Data!$B$1:$CM$1,0)):INDEX([1]Raw_Data!$B$2:$CM$1001,1000,MATCH(B142,[1]Raw_Data!$B$1:$CM$1,0)),INDEX([1]Raw_Data!$B$2:$CM$1001,1,MATCH(C142,[1]Raw_Data!$B$1:$CM$1,0)):INDEX([1]Raw_Data!$B$2:$CM$1001,1000,MATCH(C142,[1]Raw_Data!$B$1:$CM$1,0))),"판단불가"))</f>
        <v/>
      </c>
      <c r="E142" s="21" t="str">
        <f t="shared" si="4"/>
        <v/>
      </c>
      <c r="F142" s="21" t="str">
        <f t="shared" si="5"/>
        <v/>
      </c>
      <c r="G142" s="19"/>
      <c r="H142" s="19"/>
      <c r="I142" s="22"/>
    </row>
    <row r="143" spans="1:9" ht="17.399999999999999">
      <c r="A143" s="18" t="s">
        <v>241</v>
      </c>
      <c r="B143" s="19"/>
      <c r="C143" s="19"/>
      <c r="D143" s="20" t="str">
        <f>IF(OR(B143="",C143=""),"",IFERROR(CORREL(INDEX([1]Raw_Data!$B$2:$CM$1001,1,MATCH(B143,[1]Raw_Data!$B$1:$CM$1,0)):INDEX([1]Raw_Data!$B$2:$CM$1001,1000,MATCH(B143,[1]Raw_Data!$B$1:$CM$1,0)),INDEX([1]Raw_Data!$B$2:$CM$1001,1,MATCH(C143,[1]Raw_Data!$B$1:$CM$1,0)):INDEX([1]Raw_Data!$B$2:$CM$1001,1000,MATCH(C143,[1]Raw_Data!$B$1:$CM$1,0))),"판단불가"))</f>
        <v/>
      </c>
      <c r="E143" s="21" t="str">
        <f t="shared" si="4"/>
        <v/>
      </c>
      <c r="F143" s="21" t="str">
        <f t="shared" si="5"/>
        <v/>
      </c>
      <c r="G143" s="19"/>
      <c r="H143" s="19"/>
      <c r="I143" s="22"/>
    </row>
    <row r="144" spans="1:9" ht="17.399999999999999">
      <c r="A144" s="18" t="s">
        <v>242</v>
      </c>
      <c r="B144" s="19"/>
      <c r="C144" s="19"/>
      <c r="D144" s="20" t="str">
        <f>IF(OR(B144="",C144=""),"",IFERROR(CORREL(INDEX([1]Raw_Data!$B$2:$CM$1001,1,MATCH(B144,[1]Raw_Data!$B$1:$CM$1,0)):INDEX([1]Raw_Data!$B$2:$CM$1001,1000,MATCH(B144,[1]Raw_Data!$B$1:$CM$1,0)),INDEX([1]Raw_Data!$B$2:$CM$1001,1,MATCH(C144,[1]Raw_Data!$B$1:$CM$1,0)):INDEX([1]Raw_Data!$B$2:$CM$1001,1000,MATCH(C144,[1]Raw_Data!$B$1:$CM$1,0))),"판단불가"))</f>
        <v/>
      </c>
      <c r="E144" s="21" t="str">
        <f t="shared" si="4"/>
        <v/>
      </c>
      <c r="F144" s="21" t="str">
        <f t="shared" si="5"/>
        <v/>
      </c>
      <c r="G144" s="19"/>
      <c r="H144" s="19"/>
      <c r="I144" s="22"/>
    </row>
    <row r="145" spans="1:9" ht="17.399999999999999">
      <c r="A145" s="18" t="s">
        <v>243</v>
      </c>
      <c r="B145" s="19"/>
      <c r="C145" s="19"/>
      <c r="D145" s="20" t="str">
        <f>IF(OR(B145="",C145=""),"",IFERROR(CORREL(INDEX([1]Raw_Data!$B$2:$CM$1001,1,MATCH(B145,[1]Raw_Data!$B$1:$CM$1,0)):INDEX([1]Raw_Data!$B$2:$CM$1001,1000,MATCH(B145,[1]Raw_Data!$B$1:$CM$1,0)),INDEX([1]Raw_Data!$B$2:$CM$1001,1,MATCH(C145,[1]Raw_Data!$B$1:$CM$1,0)):INDEX([1]Raw_Data!$B$2:$CM$1001,1000,MATCH(C145,[1]Raw_Data!$B$1:$CM$1,0))),"판단불가"))</f>
        <v/>
      </c>
      <c r="E145" s="21" t="str">
        <f t="shared" si="4"/>
        <v/>
      </c>
      <c r="F145" s="21" t="str">
        <f t="shared" si="5"/>
        <v/>
      </c>
      <c r="G145" s="19"/>
      <c r="H145" s="19"/>
      <c r="I145" s="22"/>
    </row>
    <row r="146" spans="1:9" ht="17.399999999999999">
      <c r="A146" s="18" t="s">
        <v>244</v>
      </c>
      <c r="B146" s="19"/>
      <c r="C146" s="19"/>
      <c r="D146" s="20" t="str">
        <f>IF(OR(B146="",C146=""),"",IFERROR(CORREL(INDEX([1]Raw_Data!$B$2:$CM$1001,1,MATCH(B146,[1]Raw_Data!$B$1:$CM$1,0)):INDEX([1]Raw_Data!$B$2:$CM$1001,1000,MATCH(B146,[1]Raw_Data!$B$1:$CM$1,0)),INDEX([1]Raw_Data!$B$2:$CM$1001,1,MATCH(C146,[1]Raw_Data!$B$1:$CM$1,0)):INDEX([1]Raw_Data!$B$2:$CM$1001,1000,MATCH(C146,[1]Raw_Data!$B$1:$CM$1,0))),"판단불가"))</f>
        <v/>
      </c>
      <c r="E146" s="21" t="str">
        <f t="shared" si="4"/>
        <v/>
      </c>
      <c r="F146" s="21" t="str">
        <f t="shared" si="5"/>
        <v/>
      </c>
      <c r="G146" s="19"/>
      <c r="H146" s="19"/>
      <c r="I146" s="22"/>
    </row>
    <row r="147" spans="1:9" ht="17.399999999999999">
      <c r="A147" s="18" t="s">
        <v>245</v>
      </c>
      <c r="B147" s="19"/>
      <c r="C147" s="19"/>
      <c r="D147" s="20" t="str">
        <f>IF(OR(B147="",C147=""),"",IFERROR(CORREL(INDEX([1]Raw_Data!$B$2:$CM$1001,1,MATCH(B147,[1]Raw_Data!$B$1:$CM$1,0)):INDEX([1]Raw_Data!$B$2:$CM$1001,1000,MATCH(B147,[1]Raw_Data!$B$1:$CM$1,0)),INDEX([1]Raw_Data!$B$2:$CM$1001,1,MATCH(C147,[1]Raw_Data!$B$1:$CM$1,0)):INDEX([1]Raw_Data!$B$2:$CM$1001,1000,MATCH(C147,[1]Raw_Data!$B$1:$CM$1,0))),"판단불가"))</f>
        <v/>
      </c>
      <c r="E147" s="21" t="str">
        <f t="shared" si="4"/>
        <v/>
      </c>
      <c r="F147" s="21" t="str">
        <f t="shared" si="5"/>
        <v/>
      </c>
      <c r="G147" s="19"/>
      <c r="H147" s="19"/>
      <c r="I147" s="22"/>
    </row>
    <row r="148" spans="1:9" ht="17.399999999999999">
      <c r="A148" s="18" t="s">
        <v>246</v>
      </c>
      <c r="B148" s="19"/>
      <c r="C148" s="19"/>
      <c r="D148" s="20" t="str">
        <f>IF(OR(B148="",C148=""),"",IFERROR(CORREL(INDEX([1]Raw_Data!$B$2:$CM$1001,1,MATCH(B148,[1]Raw_Data!$B$1:$CM$1,0)):INDEX([1]Raw_Data!$B$2:$CM$1001,1000,MATCH(B148,[1]Raw_Data!$B$1:$CM$1,0)),INDEX([1]Raw_Data!$B$2:$CM$1001,1,MATCH(C148,[1]Raw_Data!$B$1:$CM$1,0)):INDEX([1]Raw_Data!$B$2:$CM$1001,1000,MATCH(C148,[1]Raw_Data!$B$1:$CM$1,0))),"판단불가"))</f>
        <v/>
      </c>
      <c r="E148" s="21" t="str">
        <f t="shared" si="4"/>
        <v/>
      </c>
      <c r="F148" s="21" t="str">
        <f t="shared" si="5"/>
        <v/>
      </c>
      <c r="G148" s="19"/>
      <c r="H148" s="19"/>
      <c r="I148" s="22"/>
    </row>
    <row r="149" spans="1:9" ht="17.399999999999999">
      <c r="A149" s="18" t="s">
        <v>247</v>
      </c>
      <c r="B149" s="19"/>
      <c r="C149" s="19"/>
      <c r="D149" s="20" t="str">
        <f>IF(OR(B149="",C149=""),"",IFERROR(CORREL(INDEX([1]Raw_Data!$B$2:$CM$1001,1,MATCH(B149,[1]Raw_Data!$B$1:$CM$1,0)):INDEX([1]Raw_Data!$B$2:$CM$1001,1000,MATCH(B149,[1]Raw_Data!$B$1:$CM$1,0)),INDEX([1]Raw_Data!$B$2:$CM$1001,1,MATCH(C149,[1]Raw_Data!$B$1:$CM$1,0)):INDEX([1]Raw_Data!$B$2:$CM$1001,1000,MATCH(C149,[1]Raw_Data!$B$1:$CM$1,0))),"판단불가"))</f>
        <v/>
      </c>
      <c r="E149" s="21" t="str">
        <f t="shared" si="4"/>
        <v/>
      </c>
      <c r="F149" s="21" t="str">
        <f t="shared" si="5"/>
        <v/>
      </c>
      <c r="G149" s="19"/>
      <c r="H149" s="19"/>
      <c r="I149" s="22"/>
    </row>
    <row r="150" spans="1:9" ht="17.399999999999999">
      <c r="A150" s="18" t="s">
        <v>248</v>
      </c>
      <c r="B150" s="19"/>
      <c r="C150" s="19"/>
      <c r="D150" s="20" t="str">
        <f>IF(OR(B150="",C150=""),"",IFERROR(CORREL(INDEX([1]Raw_Data!$B$2:$CM$1001,1,MATCH(B150,[1]Raw_Data!$B$1:$CM$1,0)):INDEX([1]Raw_Data!$B$2:$CM$1001,1000,MATCH(B150,[1]Raw_Data!$B$1:$CM$1,0)),INDEX([1]Raw_Data!$B$2:$CM$1001,1,MATCH(C150,[1]Raw_Data!$B$1:$CM$1,0)):INDEX([1]Raw_Data!$B$2:$CM$1001,1000,MATCH(C150,[1]Raw_Data!$B$1:$CM$1,0))),"판단불가"))</f>
        <v/>
      </c>
      <c r="E150" s="21" t="str">
        <f t="shared" si="4"/>
        <v/>
      </c>
      <c r="F150" s="21" t="str">
        <f t="shared" si="5"/>
        <v/>
      </c>
      <c r="G150" s="19"/>
      <c r="H150" s="19"/>
      <c r="I150" s="22"/>
    </row>
    <row r="151" spans="1:9" ht="17.399999999999999">
      <c r="A151" s="18" t="s">
        <v>249</v>
      </c>
      <c r="B151" s="19"/>
      <c r="C151" s="19"/>
      <c r="D151" s="20" t="str">
        <f>IF(OR(B151="",C151=""),"",IFERROR(CORREL(INDEX([1]Raw_Data!$B$2:$CM$1001,1,MATCH(B151,[1]Raw_Data!$B$1:$CM$1,0)):INDEX([1]Raw_Data!$B$2:$CM$1001,1000,MATCH(B151,[1]Raw_Data!$B$1:$CM$1,0)),INDEX([1]Raw_Data!$B$2:$CM$1001,1,MATCH(C151,[1]Raw_Data!$B$1:$CM$1,0)):INDEX([1]Raw_Data!$B$2:$CM$1001,1000,MATCH(C151,[1]Raw_Data!$B$1:$CM$1,0))),"판단불가"))</f>
        <v/>
      </c>
      <c r="E151" s="21" t="str">
        <f t="shared" si="4"/>
        <v/>
      </c>
      <c r="F151" s="21" t="str">
        <f t="shared" si="5"/>
        <v/>
      </c>
      <c r="G151" s="19"/>
      <c r="H151" s="19"/>
      <c r="I151" s="22"/>
    </row>
    <row r="152" spans="1:9" ht="17.399999999999999">
      <c r="A152" s="18" t="s">
        <v>250</v>
      </c>
      <c r="B152" s="19"/>
      <c r="C152" s="19"/>
      <c r="D152" s="20" t="str">
        <f>IF(OR(B152="",C152=""),"",IFERROR(CORREL(INDEX([1]Raw_Data!$B$2:$CM$1001,1,MATCH(B152,[1]Raw_Data!$B$1:$CM$1,0)):INDEX([1]Raw_Data!$B$2:$CM$1001,1000,MATCH(B152,[1]Raw_Data!$B$1:$CM$1,0)),INDEX([1]Raw_Data!$B$2:$CM$1001,1,MATCH(C152,[1]Raw_Data!$B$1:$CM$1,0)):INDEX([1]Raw_Data!$B$2:$CM$1001,1000,MATCH(C152,[1]Raw_Data!$B$1:$CM$1,0))),"판단불가"))</f>
        <v/>
      </c>
      <c r="E152" s="21" t="str">
        <f t="shared" si="4"/>
        <v/>
      </c>
      <c r="F152" s="21" t="str">
        <f t="shared" si="5"/>
        <v/>
      </c>
      <c r="G152" s="19"/>
      <c r="H152" s="19"/>
      <c r="I152" s="22"/>
    </row>
    <row r="153" spans="1:9" ht="17.399999999999999">
      <c r="A153" s="18" t="s">
        <v>251</v>
      </c>
      <c r="B153" s="19"/>
      <c r="C153" s="19"/>
      <c r="D153" s="20" t="str">
        <f>IF(OR(B153="",C153=""),"",IFERROR(CORREL(INDEX([1]Raw_Data!$B$2:$CM$1001,1,MATCH(B153,[1]Raw_Data!$B$1:$CM$1,0)):INDEX([1]Raw_Data!$B$2:$CM$1001,1000,MATCH(B153,[1]Raw_Data!$B$1:$CM$1,0)),INDEX([1]Raw_Data!$B$2:$CM$1001,1,MATCH(C153,[1]Raw_Data!$B$1:$CM$1,0)):INDEX([1]Raw_Data!$B$2:$CM$1001,1000,MATCH(C153,[1]Raw_Data!$B$1:$CM$1,0))),"판단불가"))</f>
        <v/>
      </c>
      <c r="E153" s="21" t="str">
        <f t="shared" si="4"/>
        <v/>
      </c>
      <c r="F153" s="21" t="str">
        <f t="shared" si="5"/>
        <v/>
      </c>
      <c r="G153" s="19"/>
      <c r="H153" s="19"/>
      <c r="I153" s="22"/>
    </row>
    <row r="154" spans="1:9" ht="17.399999999999999">
      <c r="A154" s="18" t="s">
        <v>252</v>
      </c>
      <c r="B154" s="19"/>
      <c r="C154" s="19"/>
      <c r="D154" s="20" t="str">
        <f>IF(OR(B154="",C154=""),"",IFERROR(CORREL(INDEX([1]Raw_Data!$B$2:$CM$1001,1,MATCH(B154,[1]Raw_Data!$B$1:$CM$1,0)):INDEX([1]Raw_Data!$B$2:$CM$1001,1000,MATCH(B154,[1]Raw_Data!$B$1:$CM$1,0)),INDEX([1]Raw_Data!$B$2:$CM$1001,1,MATCH(C154,[1]Raw_Data!$B$1:$CM$1,0)):INDEX([1]Raw_Data!$B$2:$CM$1001,1000,MATCH(C154,[1]Raw_Data!$B$1:$CM$1,0))),"판단불가"))</f>
        <v/>
      </c>
      <c r="E154" s="21" t="str">
        <f t="shared" si="4"/>
        <v/>
      </c>
      <c r="F154" s="21" t="str">
        <f t="shared" si="5"/>
        <v/>
      </c>
      <c r="G154" s="19"/>
      <c r="H154" s="19"/>
      <c r="I154" s="22"/>
    </row>
    <row r="155" spans="1:9" ht="17.399999999999999">
      <c r="A155" s="18" t="s">
        <v>253</v>
      </c>
      <c r="B155" s="19"/>
      <c r="C155" s="19"/>
      <c r="D155" s="20" t="str">
        <f>IF(OR(B155="",C155=""),"",IFERROR(CORREL(INDEX([1]Raw_Data!$B$2:$CM$1001,1,MATCH(B155,[1]Raw_Data!$B$1:$CM$1,0)):INDEX([1]Raw_Data!$B$2:$CM$1001,1000,MATCH(B155,[1]Raw_Data!$B$1:$CM$1,0)),INDEX([1]Raw_Data!$B$2:$CM$1001,1,MATCH(C155,[1]Raw_Data!$B$1:$CM$1,0)):INDEX([1]Raw_Data!$B$2:$CM$1001,1000,MATCH(C155,[1]Raw_Data!$B$1:$CM$1,0))),"판단불가"))</f>
        <v/>
      </c>
      <c r="E155" s="21" t="str">
        <f t="shared" si="4"/>
        <v/>
      </c>
      <c r="F155" s="21" t="str">
        <f t="shared" si="5"/>
        <v/>
      </c>
      <c r="G155" s="19"/>
      <c r="H155" s="19"/>
      <c r="I155" s="22"/>
    </row>
    <row r="156" spans="1:9" ht="17.399999999999999">
      <c r="A156" s="18" t="s">
        <v>254</v>
      </c>
      <c r="B156" s="19"/>
      <c r="C156" s="19"/>
      <c r="D156" s="20" t="str">
        <f>IF(OR(B156="",C156=""),"",IFERROR(CORREL(INDEX([1]Raw_Data!$B$2:$CM$1001,1,MATCH(B156,[1]Raw_Data!$B$1:$CM$1,0)):INDEX([1]Raw_Data!$B$2:$CM$1001,1000,MATCH(B156,[1]Raw_Data!$B$1:$CM$1,0)),INDEX([1]Raw_Data!$B$2:$CM$1001,1,MATCH(C156,[1]Raw_Data!$B$1:$CM$1,0)):INDEX([1]Raw_Data!$B$2:$CM$1001,1000,MATCH(C156,[1]Raw_Data!$B$1:$CM$1,0))),"판단불가"))</f>
        <v/>
      </c>
      <c r="E156" s="21" t="str">
        <f t="shared" si="4"/>
        <v/>
      </c>
      <c r="F156" s="21" t="str">
        <f t="shared" si="5"/>
        <v/>
      </c>
      <c r="G156" s="19"/>
      <c r="H156" s="19"/>
      <c r="I156" s="22"/>
    </row>
    <row r="157" spans="1:9" ht="17.399999999999999">
      <c r="A157" s="18" t="s">
        <v>255</v>
      </c>
      <c r="B157" s="19"/>
      <c r="C157" s="19"/>
      <c r="D157" s="20" t="str">
        <f>IF(OR(B157="",C157=""),"",IFERROR(CORREL(INDEX([1]Raw_Data!$B$2:$CM$1001,1,MATCH(B157,[1]Raw_Data!$B$1:$CM$1,0)):INDEX([1]Raw_Data!$B$2:$CM$1001,1000,MATCH(B157,[1]Raw_Data!$B$1:$CM$1,0)),INDEX([1]Raw_Data!$B$2:$CM$1001,1,MATCH(C157,[1]Raw_Data!$B$1:$CM$1,0)):INDEX([1]Raw_Data!$B$2:$CM$1001,1000,MATCH(C157,[1]Raw_Data!$B$1:$CM$1,0))),"판단불가"))</f>
        <v/>
      </c>
      <c r="E157" s="21" t="str">
        <f t="shared" si="4"/>
        <v/>
      </c>
      <c r="F157" s="21" t="str">
        <f t="shared" si="5"/>
        <v/>
      </c>
      <c r="G157" s="19"/>
      <c r="H157" s="19"/>
      <c r="I157" s="22"/>
    </row>
    <row r="158" spans="1:9" ht="17.399999999999999">
      <c r="A158" s="18" t="s">
        <v>256</v>
      </c>
      <c r="B158" s="19"/>
      <c r="C158" s="19"/>
      <c r="D158" s="20" t="str">
        <f>IF(OR(B158="",C158=""),"",IFERROR(CORREL(INDEX([1]Raw_Data!$B$2:$CM$1001,1,MATCH(B158,[1]Raw_Data!$B$1:$CM$1,0)):INDEX([1]Raw_Data!$B$2:$CM$1001,1000,MATCH(B158,[1]Raw_Data!$B$1:$CM$1,0)),INDEX([1]Raw_Data!$B$2:$CM$1001,1,MATCH(C158,[1]Raw_Data!$B$1:$CM$1,0)):INDEX([1]Raw_Data!$B$2:$CM$1001,1000,MATCH(C158,[1]Raw_Data!$B$1:$CM$1,0))),"판단불가"))</f>
        <v/>
      </c>
      <c r="E158" s="21" t="str">
        <f t="shared" si="4"/>
        <v/>
      </c>
      <c r="F158" s="21" t="str">
        <f t="shared" si="5"/>
        <v/>
      </c>
      <c r="G158" s="19"/>
      <c r="H158" s="19"/>
      <c r="I158" s="22"/>
    </row>
    <row r="159" spans="1:9" ht="17.399999999999999">
      <c r="A159" s="18" t="s">
        <v>257</v>
      </c>
      <c r="B159" s="19"/>
      <c r="C159" s="19"/>
      <c r="D159" s="20" t="str">
        <f>IF(OR(B159="",C159=""),"",IFERROR(CORREL(INDEX([1]Raw_Data!$B$2:$CM$1001,1,MATCH(B159,[1]Raw_Data!$B$1:$CM$1,0)):INDEX([1]Raw_Data!$B$2:$CM$1001,1000,MATCH(B159,[1]Raw_Data!$B$1:$CM$1,0)),INDEX([1]Raw_Data!$B$2:$CM$1001,1,MATCH(C159,[1]Raw_Data!$B$1:$CM$1,0)):INDEX([1]Raw_Data!$B$2:$CM$1001,1000,MATCH(C159,[1]Raw_Data!$B$1:$CM$1,0))),"판단불가"))</f>
        <v/>
      </c>
      <c r="E159" s="21" t="str">
        <f t="shared" si="4"/>
        <v/>
      </c>
      <c r="F159" s="21" t="str">
        <f t="shared" si="5"/>
        <v/>
      </c>
      <c r="G159" s="19"/>
      <c r="H159" s="19"/>
      <c r="I159" s="22"/>
    </row>
    <row r="160" spans="1:9" ht="17.399999999999999">
      <c r="A160" s="18" t="s">
        <v>258</v>
      </c>
      <c r="B160" s="19"/>
      <c r="C160" s="19"/>
      <c r="D160" s="20" t="str">
        <f>IF(OR(B160="",C160=""),"",IFERROR(CORREL(INDEX([1]Raw_Data!$B$2:$CM$1001,1,MATCH(B160,[1]Raw_Data!$B$1:$CM$1,0)):INDEX([1]Raw_Data!$B$2:$CM$1001,1000,MATCH(B160,[1]Raw_Data!$B$1:$CM$1,0)),INDEX([1]Raw_Data!$B$2:$CM$1001,1,MATCH(C160,[1]Raw_Data!$B$1:$CM$1,0)):INDEX([1]Raw_Data!$B$2:$CM$1001,1000,MATCH(C160,[1]Raw_Data!$B$1:$CM$1,0))),"판단불가"))</f>
        <v/>
      </c>
      <c r="E160" s="21" t="str">
        <f t="shared" si="4"/>
        <v/>
      </c>
      <c r="F160" s="21" t="str">
        <f t="shared" si="5"/>
        <v/>
      </c>
      <c r="G160" s="19"/>
      <c r="H160" s="19"/>
      <c r="I160" s="22"/>
    </row>
    <row r="161" spans="1:9" ht="17.399999999999999">
      <c r="A161" s="18" t="s">
        <v>259</v>
      </c>
      <c r="B161" s="19"/>
      <c r="C161" s="19"/>
      <c r="D161" s="20" t="str">
        <f>IF(OR(B161="",C161=""),"",IFERROR(CORREL(INDEX([1]Raw_Data!$B$2:$CM$1001,1,MATCH(B161,[1]Raw_Data!$B$1:$CM$1,0)):INDEX([1]Raw_Data!$B$2:$CM$1001,1000,MATCH(B161,[1]Raw_Data!$B$1:$CM$1,0)),INDEX([1]Raw_Data!$B$2:$CM$1001,1,MATCH(C161,[1]Raw_Data!$B$1:$CM$1,0)):INDEX([1]Raw_Data!$B$2:$CM$1001,1000,MATCH(C161,[1]Raw_Data!$B$1:$CM$1,0))),"판단불가"))</f>
        <v/>
      </c>
      <c r="E161" s="21" t="str">
        <f t="shared" si="4"/>
        <v/>
      </c>
      <c r="F161" s="21" t="str">
        <f t="shared" si="5"/>
        <v/>
      </c>
      <c r="G161" s="19"/>
      <c r="H161" s="19"/>
      <c r="I161" s="22"/>
    </row>
    <row r="162" spans="1:9" ht="17.399999999999999">
      <c r="A162" s="18" t="s">
        <v>260</v>
      </c>
      <c r="B162" s="19"/>
      <c r="C162" s="19"/>
      <c r="D162" s="20" t="str">
        <f>IF(OR(B162="",C162=""),"",IFERROR(CORREL(INDEX([1]Raw_Data!$B$2:$CM$1001,1,MATCH(B162,[1]Raw_Data!$B$1:$CM$1,0)):INDEX([1]Raw_Data!$B$2:$CM$1001,1000,MATCH(B162,[1]Raw_Data!$B$1:$CM$1,0)),INDEX([1]Raw_Data!$B$2:$CM$1001,1,MATCH(C162,[1]Raw_Data!$B$1:$CM$1,0)):INDEX([1]Raw_Data!$B$2:$CM$1001,1000,MATCH(C162,[1]Raw_Data!$B$1:$CM$1,0))),"판단불가"))</f>
        <v/>
      </c>
      <c r="E162" s="21" t="str">
        <f t="shared" si="4"/>
        <v/>
      </c>
      <c r="F162" s="21" t="str">
        <f t="shared" si="5"/>
        <v/>
      </c>
      <c r="G162" s="19"/>
      <c r="H162" s="19"/>
      <c r="I162" s="22"/>
    </row>
    <row r="163" spans="1:9" ht="17.399999999999999">
      <c r="A163" s="18" t="s">
        <v>261</v>
      </c>
      <c r="B163" s="19"/>
      <c r="C163" s="19"/>
      <c r="D163" s="20" t="str">
        <f>IF(OR(B163="",C163=""),"",IFERROR(CORREL(INDEX([1]Raw_Data!$B$2:$CM$1001,1,MATCH(B163,[1]Raw_Data!$B$1:$CM$1,0)):INDEX([1]Raw_Data!$B$2:$CM$1001,1000,MATCH(B163,[1]Raw_Data!$B$1:$CM$1,0)),INDEX([1]Raw_Data!$B$2:$CM$1001,1,MATCH(C163,[1]Raw_Data!$B$1:$CM$1,0)):INDEX([1]Raw_Data!$B$2:$CM$1001,1000,MATCH(C163,[1]Raw_Data!$B$1:$CM$1,0))),"판단불가"))</f>
        <v/>
      </c>
      <c r="E163" s="21" t="str">
        <f t="shared" si="4"/>
        <v/>
      </c>
      <c r="F163" s="21" t="str">
        <f t="shared" si="5"/>
        <v/>
      </c>
      <c r="G163" s="19"/>
      <c r="H163" s="19"/>
      <c r="I163" s="22"/>
    </row>
    <row r="164" spans="1:9" ht="17.399999999999999">
      <c r="A164" s="18" t="s">
        <v>262</v>
      </c>
      <c r="B164" s="19"/>
      <c r="C164" s="19"/>
      <c r="D164" s="20" t="str">
        <f>IF(OR(B164="",C164=""),"",IFERROR(CORREL(INDEX([1]Raw_Data!$B$2:$CM$1001,1,MATCH(B164,[1]Raw_Data!$B$1:$CM$1,0)):INDEX([1]Raw_Data!$B$2:$CM$1001,1000,MATCH(B164,[1]Raw_Data!$B$1:$CM$1,0)),INDEX([1]Raw_Data!$B$2:$CM$1001,1,MATCH(C164,[1]Raw_Data!$B$1:$CM$1,0)):INDEX([1]Raw_Data!$B$2:$CM$1001,1000,MATCH(C164,[1]Raw_Data!$B$1:$CM$1,0))),"판단불가"))</f>
        <v/>
      </c>
      <c r="E164" s="21" t="str">
        <f t="shared" si="4"/>
        <v/>
      </c>
      <c r="F164" s="21" t="str">
        <f t="shared" si="5"/>
        <v/>
      </c>
      <c r="G164" s="19"/>
      <c r="H164" s="19"/>
      <c r="I164" s="22"/>
    </row>
    <row r="165" spans="1:9" ht="17.399999999999999">
      <c r="A165" s="18" t="s">
        <v>263</v>
      </c>
      <c r="B165" s="19"/>
      <c r="C165" s="19"/>
      <c r="D165" s="20" t="str">
        <f>IF(OR(B165="",C165=""),"",IFERROR(CORREL(INDEX([1]Raw_Data!$B$2:$CM$1001,1,MATCH(B165,[1]Raw_Data!$B$1:$CM$1,0)):INDEX([1]Raw_Data!$B$2:$CM$1001,1000,MATCH(B165,[1]Raw_Data!$B$1:$CM$1,0)),INDEX([1]Raw_Data!$B$2:$CM$1001,1,MATCH(C165,[1]Raw_Data!$B$1:$CM$1,0)):INDEX([1]Raw_Data!$B$2:$CM$1001,1000,MATCH(C165,[1]Raw_Data!$B$1:$CM$1,0))),"판단불가"))</f>
        <v/>
      </c>
      <c r="E165" s="21" t="str">
        <f t="shared" si="4"/>
        <v/>
      </c>
      <c r="F165" s="21" t="str">
        <f t="shared" si="5"/>
        <v/>
      </c>
      <c r="G165" s="19"/>
      <c r="H165" s="19"/>
      <c r="I165" s="22"/>
    </row>
    <row r="166" spans="1:9" ht="17.399999999999999">
      <c r="A166" s="18" t="s">
        <v>264</v>
      </c>
      <c r="B166" s="19"/>
      <c r="C166" s="19"/>
      <c r="D166" s="20" t="str">
        <f>IF(OR(B166="",C166=""),"",IFERROR(CORREL(INDEX([1]Raw_Data!$B$2:$CM$1001,1,MATCH(B166,[1]Raw_Data!$B$1:$CM$1,0)):INDEX([1]Raw_Data!$B$2:$CM$1001,1000,MATCH(B166,[1]Raw_Data!$B$1:$CM$1,0)),INDEX([1]Raw_Data!$B$2:$CM$1001,1,MATCH(C166,[1]Raw_Data!$B$1:$CM$1,0)):INDEX([1]Raw_Data!$B$2:$CM$1001,1000,MATCH(C166,[1]Raw_Data!$B$1:$CM$1,0))),"판단불가"))</f>
        <v/>
      </c>
      <c r="E166" s="21" t="str">
        <f t="shared" si="4"/>
        <v/>
      </c>
      <c r="F166" s="21" t="str">
        <f t="shared" si="5"/>
        <v/>
      </c>
      <c r="G166" s="19"/>
      <c r="H166" s="19"/>
      <c r="I166" s="22"/>
    </row>
    <row r="167" spans="1:9" ht="17.399999999999999">
      <c r="A167" s="18" t="s">
        <v>265</v>
      </c>
      <c r="B167" s="19"/>
      <c r="C167" s="19"/>
      <c r="D167" s="20" t="str">
        <f>IF(OR(B167="",C167=""),"",IFERROR(CORREL(INDEX([1]Raw_Data!$B$2:$CM$1001,1,MATCH(B167,[1]Raw_Data!$B$1:$CM$1,0)):INDEX([1]Raw_Data!$B$2:$CM$1001,1000,MATCH(B167,[1]Raw_Data!$B$1:$CM$1,0)),INDEX([1]Raw_Data!$B$2:$CM$1001,1,MATCH(C167,[1]Raw_Data!$B$1:$CM$1,0)):INDEX([1]Raw_Data!$B$2:$CM$1001,1000,MATCH(C167,[1]Raw_Data!$B$1:$CM$1,0))),"판단불가"))</f>
        <v/>
      </c>
      <c r="E167" s="21" t="str">
        <f t="shared" si="4"/>
        <v/>
      </c>
      <c r="F167" s="21" t="str">
        <f t="shared" si="5"/>
        <v/>
      </c>
      <c r="G167" s="19"/>
      <c r="H167" s="19"/>
      <c r="I167" s="22"/>
    </row>
    <row r="168" spans="1:9" ht="17.399999999999999">
      <c r="A168" s="18" t="s">
        <v>266</v>
      </c>
      <c r="B168" s="19"/>
      <c r="C168" s="19"/>
      <c r="D168" s="20" t="str">
        <f>IF(OR(B168="",C168=""),"",IFERROR(CORREL(INDEX([1]Raw_Data!$B$2:$CM$1001,1,MATCH(B168,[1]Raw_Data!$B$1:$CM$1,0)):INDEX([1]Raw_Data!$B$2:$CM$1001,1000,MATCH(B168,[1]Raw_Data!$B$1:$CM$1,0)),INDEX([1]Raw_Data!$B$2:$CM$1001,1,MATCH(C168,[1]Raw_Data!$B$1:$CM$1,0)):INDEX([1]Raw_Data!$B$2:$CM$1001,1000,MATCH(C168,[1]Raw_Data!$B$1:$CM$1,0))),"판단불가"))</f>
        <v/>
      </c>
      <c r="E168" s="21" t="str">
        <f t="shared" si="4"/>
        <v/>
      </c>
      <c r="F168" s="21" t="str">
        <f t="shared" si="5"/>
        <v/>
      </c>
      <c r="G168" s="19"/>
      <c r="H168" s="19"/>
      <c r="I168" s="22"/>
    </row>
    <row r="169" spans="1:9" ht="17.399999999999999">
      <c r="A169" s="18" t="s">
        <v>267</v>
      </c>
      <c r="B169" s="19"/>
      <c r="C169" s="19"/>
      <c r="D169" s="20" t="str">
        <f>IF(OR(B169="",C169=""),"",IFERROR(CORREL(INDEX([1]Raw_Data!$B$2:$CM$1001,1,MATCH(B169,[1]Raw_Data!$B$1:$CM$1,0)):INDEX([1]Raw_Data!$B$2:$CM$1001,1000,MATCH(B169,[1]Raw_Data!$B$1:$CM$1,0)),INDEX([1]Raw_Data!$B$2:$CM$1001,1,MATCH(C169,[1]Raw_Data!$B$1:$CM$1,0)):INDEX([1]Raw_Data!$B$2:$CM$1001,1000,MATCH(C169,[1]Raw_Data!$B$1:$CM$1,0))),"판단불가"))</f>
        <v/>
      </c>
      <c r="E169" s="21" t="str">
        <f t="shared" si="4"/>
        <v/>
      </c>
      <c r="F169" s="21" t="str">
        <f t="shared" si="5"/>
        <v/>
      </c>
      <c r="G169" s="19"/>
      <c r="H169" s="19"/>
      <c r="I169" s="22"/>
    </row>
    <row r="170" spans="1:9" ht="17.399999999999999">
      <c r="A170" s="18" t="s">
        <v>268</v>
      </c>
      <c r="B170" s="19"/>
      <c r="C170" s="19"/>
      <c r="D170" s="20" t="str">
        <f>IF(OR(B170="",C170=""),"",IFERROR(CORREL(INDEX([1]Raw_Data!$B$2:$CM$1001,1,MATCH(B170,[1]Raw_Data!$B$1:$CM$1,0)):INDEX([1]Raw_Data!$B$2:$CM$1001,1000,MATCH(B170,[1]Raw_Data!$B$1:$CM$1,0)),INDEX([1]Raw_Data!$B$2:$CM$1001,1,MATCH(C170,[1]Raw_Data!$B$1:$CM$1,0)):INDEX([1]Raw_Data!$B$2:$CM$1001,1000,MATCH(C170,[1]Raw_Data!$B$1:$CM$1,0))),"판단불가"))</f>
        <v/>
      </c>
      <c r="E170" s="21" t="str">
        <f t="shared" si="4"/>
        <v/>
      </c>
      <c r="F170" s="21" t="str">
        <f t="shared" si="5"/>
        <v/>
      </c>
      <c r="G170" s="19"/>
      <c r="H170" s="19"/>
      <c r="I170" s="22"/>
    </row>
    <row r="171" spans="1:9" ht="17.399999999999999">
      <c r="A171" s="18" t="s">
        <v>269</v>
      </c>
      <c r="B171" s="19"/>
      <c r="C171" s="19"/>
      <c r="D171" s="20" t="str">
        <f>IF(OR(B171="",C171=""),"",IFERROR(CORREL(INDEX([1]Raw_Data!$B$2:$CM$1001,1,MATCH(B171,[1]Raw_Data!$B$1:$CM$1,0)):INDEX([1]Raw_Data!$B$2:$CM$1001,1000,MATCH(B171,[1]Raw_Data!$B$1:$CM$1,0)),INDEX([1]Raw_Data!$B$2:$CM$1001,1,MATCH(C171,[1]Raw_Data!$B$1:$CM$1,0)):INDEX([1]Raw_Data!$B$2:$CM$1001,1000,MATCH(C171,[1]Raw_Data!$B$1:$CM$1,0))),"판단불가"))</f>
        <v/>
      </c>
      <c r="E171" s="21" t="str">
        <f t="shared" si="4"/>
        <v/>
      </c>
      <c r="F171" s="21" t="str">
        <f t="shared" si="5"/>
        <v/>
      </c>
      <c r="G171" s="19"/>
      <c r="H171" s="19"/>
      <c r="I171" s="22"/>
    </row>
    <row r="172" spans="1:9" ht="17.399999999999999">
      <c r="A172" s="18" t="s">
        <v>270</v>
      </c>
      <c r="B172" s="19"/>
      <c r="C172" s="19"/>
      <c r="D172" s="20" t="str">
        <f>IF(OR(B172="",C172=""),"",IFERROR(CORREL(INDEX([1]Raw_Data!$B$2:$CM$1001,1,MATCH(B172,[1]Raw_Data!$B$1:$CM$1,0)):INDEX([1]Raw_Data!$B$2:$CM$1001,1000,MATCH(B172,[1]Raw_Data!$B$1:$CM$1,0)),INDEX([1]Raw_Data!$B$2:$CM$1001,1,MATCH(C172,[1]Raw_Data!$B$1:$CM$1,0)):INDEX([1]Raw_Data!$B$2:$CM$1001,1000,MATCH(C172,[1]Raw_Data!$B$1:$CM$1,0))),"판단불가"))</f>
        <v/>
      </c>
      <c r="E172" s="21" t="str">
        <f t="shared" si="4"/>
        <v/>
      </c>
      <c r="F172" s="21" t="str">
        <f t="shared" si="5"/>
        <v/>
      </c>
      <c r="G172" s="19"/>
      <c r="H172" s="19"/>
      <c r="I172" s="22"/>
    </row>
    <row r="173" spans="1:9" ht="17.399999999999999">
      <c r="A173" s="18" t="s">
        <v>271</v>
      </c>
      <c r="B173" s="19"/>
      <c r="C173" s="19"/>
      <c r="D173" s="20" t="str">
        <f>IF(OR(B173="",C173=""),"",IFERROR(CORREL(INDEX([1]Raw_Data!$B$2:$CM$1001,1,MATCH(B173,[1]Raw_Data!$B$1:$CM$1,0)):INDEX([1]Raw_Data!$B$2:$CM$1001,1000,MATCH(B173,[1]Raw_Data!$B$1:$CM$1,0)),INDEX([1]Raw_Data!$B$2:$CM$1001,1,MATCH(C173,[1]Raw_Data!$B$1:$CM$1,0)):INDEX([1]Raw_Data!$B$2:$CM$1001,1000,MATCH(C173,[1]Raw_Data!$B$1:$CM$1,0))),"판단불가"))</f>
        <v/>
      </c>
      <c r="E173" s="21" t="str">
        <f t="shared" si="4"/>
        <v/>
      </c>
      <c r="F173" s="21" t="str">
        <f t="shared" si="5"/>
        <v/>
      </c>
      <c r="G173" s="19"/>
      <c r="H173" s="19"/>
      <c r="I173" s="22"/>
    </row>
    <row r="174" spans="1:9" ht="17.399999999999999">
      <c r="A174" s="18" t="s">
        <v>272</v>
      </c>
      <c r="B174" s="19"/>
      <c r="C174" s="19"/>
      <c r="D174" s="20" t="str">
        <f>IF(OR(B174="",C174=""),"",IFERROR(CORREL(INDEX([1]Raw_Data!$B$2:$CM$1001,1,MATCH(B174,[1]Raw_Data!$B$1:$CM$1,0)):INDEX([1]Raw_Data!$B$2:$CM$1001,1000,MATCH(B174,[1]Raw_Data!$B$1:$CM$1,0)),INDEX([1]Raw_Data!$B$2:$CM$1001,1,MATCH(C174,[1]Raw_Data!$B$1:$CM$1,0)):INDEX([1]Raw_Data!$B$2:$CM$1001,1000,MATCH(C174,[1]Raw_Data!$B$1:$CM$1,0))),"판단불가"))</f>
        <v/>
      </c>
      <c r="E174" s="21" t="str">
        <f t="shared" si="4"/>
        <v/>
      </c>
      <c r="F174" s="21" t="str">
        <f t="shared" si="5"/>
        <v/>
      </c>
      <c r="G174" s="19"/>
      <c r="H174" s="19"/>
      <c r="I174" s="22"/>
    </row>
    <row r="175" spans="1:9" ht="17.399999999999999">
      <c r="A175" s="18" t="s">
        <v>273</v>
      </c>
      <c r="B175" s="19"/>
      <c r="C175" s="19"/>
      <c r="D175" s="20" t="str">
        <f>IF(OR(B175="",C175=""),"",IFERROR(CORREL(INDEX([1]Raw_Data!$B$2:$CM$1001,1,MATCH(B175,[1]Raw_Data!$B$1:$CM$1,0)):INDEX([1]Raw_Data!$B$2:$CM$1001,1000,MATCH(B175,[1]Raw_Data!$B$1:$CM$1,0)),INDEX([1]Raw_Data!$B$2:$CM$1001,1,MATCH(C175,[1]Raw_Data!$B$1:$CM$1,0)):INDEX([1]Raw_Data!$B$2:$CM$1001,1000,MATCH(C175,[1]Raw_Data!$B$1:$CM$1,0))),"판단불가"))</f>
        <v/>
      </c>
      <c r="E175" s="21" t="str">
        <f t="shared" si="4"/>
        <v/>
      </c>
      <c r="F175" s="21" t="str">
        <f t="shared" si="5"/>
        <v/>
      </c>
      <c r="G175" s="19"/>
      <c r="H175" s="19"/>
      <c r="I175" s="22"/>
    </row>
    <row r="176" spans="1:9" ht="17.399999999999999">
      <c r="A176" s="18" t="s">
        <v>274</v>
      </c>
      <c r="B176" s="19"/>
      <c r="C176" s="19"/>
      <c r="D176" s="20" t="str">
        <f>IF(OR(B176="",C176=""),"",IFERROR(CORREL(INDEX([1]Raw_Data!$B$2:$CM$1001,1,MATCH(B176,[1]Raw_Data!$B$1:$CM$1,0)):INDEX([1]Raw_Data!$B$2:$CM$1001,1000,MATCH(B176,[1]Raw_Data!$B$1:$CM$1,0)),INDEX([1]Raw_Data!$B$2:$CM$1001,1,MATCH(C176,[1]Raw_Data!$B$1:$CM$1,0)):INDEX([1]Raw_Data!$B$2:$CM$1001,1000,MATCH(C176,[1]Raw_Data!$B$1:$CM$1,0))),"판단불가"))</f>
        <v/>
      </c>
      <c r="E176" s="21" t="str">
        <f t="shared" si="4"/>
        <v/>
      </c>
      <c r="F176" s="21" t="str">
        <f t="shared" si="5"/>
        <v/>
      </c>
      <c r="G176" s="19"/>
      <c r="H176" s="19"/>
      <c r="I176" s="22"/>
    </row>
    <row r="177" spans="1:9" ht="17.399999999999999">
      <c r="A177" s="18" t="s">
        <v>275</v>
      </c>
      <c r="B177" s="19"/>
      <c r="C177" s="19"/>
      <c r="D177" s="20" t="str">
        <f>IF(OR(B177="",C177=""),"",IFERROR(CORREL(INDEX([1]Raw_Data!$B$2:$CM$1001,1,MATCH(B177,[1]Raw_Data!$B$1:$CM$1,0)):INDEX([1]Raw_Data!$B$2:$CM$1001,1000,MATCH(B177,[1]Raw_Data!$B$1:$CM$1,0)),INDEX([1]Raw_Data!$B$2:$CM$1001,1,MATCH(C177,[1]Raw_Data!$B$1:$CM$1,0)):INDEX([1]Raw_Data!$B$2:$CM$1001,1000,MATCH(C177,[1]Raw_Data!$B$1:$CM$1,0))),"판단불가"))</f>
        <v/>
      </c>
      <c r="E177" s="21" t="str">
        <f t="shared" si="4"/>
        <v/>
      </c>
      <c r="F177" s="21" t="str">
        <f t="shared" si="5"/>
        <v/>
      </c>
      <c r="G177" s="19"/>
      <c r="H177" s="19"/>
      <c r="I177" s="22"/>
    </row>
    <row r="178" spans="1:9" ht="17.399999999999999">
      <c r="A178" s="18" t="s">
        <v>276</v>
      </c>
      <c r="B178" s="19"/>
      <c r="C178" s="19"/>
      <c r="D178" s="20" t="str">
        <f>IF(OR(B178="",C178=""),"",IFERROR(CORREL(INDEX([1]Raw_Data!$B$2:$CM$1001,1,MATCH(B178,[1]Raw_Data!$B$1:$CM$1,0)):INDEX([1]Raw_Data!$B$2:$CM$1001,1000,MATCH(B178,[1]Raw_Data!$B$1:$CM$1,0)),INDEX([1]Raw_Data!$B$2:$CM$1001,1,MATCH(C178,[1]Raw_Data!$B$1:$CM$1,0)):INDEX([1]Raw_Data!$B$2:$CM$1001,1000,MATCH(C178,[1]Raw_Data!$B$1:$CM$1,0))),"판단불가"))</f>
        <v/>
      </c>
      <c r="E178" s="21" t="str">
        <f t="shared" si="4"/>
        <v/>
      </c>
      <c r="F178" s="21" t="str">
        <f t="shared" si="5"/>
        <v/>
      </c>
      <c r="G178" s="19"/>
      <c r="H178" s="19"/>
      <c r="I178" s="22"/>
    </row>
    <row r="179" spans="1:9" ht="17.399999999999999">
      <c r="A179" s="18" t="s">
        <v>277</v>
      </c>
      <c r="B179" s="19"/>
      <c r="C179" s="19"/>
      <c r="D179" s="20" t="str">
        <f>IF(OR(B179="",C179=""),"",IFERROR(CORREL(INDEX([1]Raw_Data!$B$2:$CM$1001,1,MATCH(B179,[1]Raw_Data!$B$1:$CM$1,0)):INDEX([1]Raw_Data!$B$2:$CM$1001,1000,MATCH(B179,[1]Raw_Data!$B$1:$CM$1,0)),INDEX([1]Raw_Data!$B$2:$CM$1001,1,MATCH(C179,[1]Raw_Data!$B$1:$CM$1,0)):INDEX([1]Raw_Data!$B$2:$CM$1001,1000,MATCH(C179,[1]Raw_Data!$B$1:$CM$1,0))),"판단불가"))</f>
        <v/>
      </c>
      <c r="E179" s="21" t="str">
        <f t="shared" si="4"/>
        <v/>
      </c>
      <c r="F179" s="21" t="str">
        <f t="shared" si="5"/>
        <v/>
      </c>
      <c r="G179" s="19"/>
      <c r="H179" s="19"/>
      <c r="I179" s="22"/>
    </row>
    <row r="180" spans="1:9" ht="17.399999999999999">
      <c r="A180" s="18" t="s">
        <v>278</v>
      </c>
      <c r="B180" s="19"/>
      <c r="C180" s="19"/>
      <c r="D180" s="20" t="str">
        <f>IF(OR(B180="",C180=""),"",IFERROR(CORREL(INDEX([1]Raw_Data!$B$2:$CM$1001,1,MATCH(B180,[1]Raw_Data!$B$1:$CM$1,0)):INDEX([1]Raw_Data!$B$2:$CM$1001,1000,MATCH(B180,[1]Raw_Data!$B$1:$CM$1,0)),INDEX([1]Raw_Data!$B$2:$CM$1001,1,MATCH(C180,[1]Raw_Data!$B$1:$CM$1,0)):INDEX([1]Raw_Data!$B$2:$CM$1001,1000,MATCH(C180,[1]Raw_Data!$B$1:$CM$1,0))),"판단불가"))</f>
        <v/>
      </c>
      <c r="E180" s="21" t="str">
        <f t="shared" si="4"/>
        <v/>
      </c>
      <c r="F180" s="21" t="str">
        <f t="shared" si="5"/>
        <v/>
      </c>
      <c r="G180" s="19"/>
      <c r="H180" s="19"/>
      <c r="I180" s="22"/>
    </row>
    <row r="181" spans="1:9" ht="17.399999999999999">
      <c r="A181" s="18" t="s">
        <v>279</v>
      </c>
      <c r="B181" s="19"/>
      <c r="C181" s="19"/>
      <c r="D181" s="20" t="str">
        <f>IF(OR(B181="",C181=""),"",IFERROR(CORREL(INDEX([1]Raw_Data!$B$2:$CM$1001,1,MATCH(B181,[1]Raw_Data!$B$1:$CM$1,0)):INDEX([1]Raw_Data!$B$2:$CM$1001,1000,MATCH(B181,[1]Raw_Data!$B$1:$CM$1,0)),INDEX([1]Raw_Data!$B$2:$CM$1001,1,MATCH(C181,[1]Raw_Data!$B$1:$CM$1,0)):INDEX([1]Raw_Data!$B$2:$CM$1001,1000,MATCH(C181,[1]Raw_Data!$B$1:$CM$1,0))),"판단불가"))</f>
        <v/>
      </c>
      <c r="E181" s="21" t="str">
        <f t="shared" si="4"/>
        <v/>
      </c>
      <c r="F181" s="21" t="str">
        <f t="shared" si="5"/>
        <v/>
      </c>
      <c r="G181" s="19"/>
      <c r="H181" s="19"/>
      <c r="I181" s="22"/>
    </row>
    <row r="182" spans="1:9" ht="17.399999999999999">
      <c r="A182" s="18" t="s">
        <v>280</v>
      </c>
      <c r="B182" s="19"/>
      <c r="C182" s="19"/>
      <c r="D182" s="20" t="str">
        <f>IF(OR(B182="",C182=""),"",IFERROR(CORREL(INDEX([1]Raw_Data!$B$2:$CM$1001,1,MATCH(B182,[1]Raw_Data!$B$1:$CM$1,0)):INDEX([1]Raw_Data!$B$2:$CM$1001,1000,MATCH(B182,[1]Raw_Data!$B$1:$CM$1,0)),INDEX([1]Raw_Data!$B$2:$CM$1001,1,MATCH(C182,[1]Raw_Data!$B$1:$CM$1,0)):INDEX([1]Raw_Data!$B$2:$CM$1001,1000,MATCH(C182,[1]Raw_Data!$B$1:$CM$1,0))),"판단불가"))</f>
        <v/>
      </c>
      <c r="E182" s="21" t="str">
        <f t="shared" si="4"/>
        <v/>
      </c>
      <c r="F182" s="21" t="str">
        <f t="shared" si="5"/>
        <v/>
      </c>
      <c r="G182" s="19"/>
      <c r="H182" s="19"/>
      <c r="I182" s="22"/>
    </row>
    <row r="183" spans="1:9" ht="17.399999999999999">
      <c r="A183" s="18" t="s">
        <v>281</v>
      </c>
      <c r="B183" s="19"/>
      <c r="C183" s="19"/>
      <c r="D183" s="20" t="str">
        <f>IF(OR(B183="",C183=""),"",IFERROR(CORREL(INDEX([1]Raw_Data!$B$2:$CM$1001,1,MATCH(B183,[1]Raw_Data!$B$1:$CM$1,0)):INDEX([1]Raw_Data!$B$2:$CM$1001,1000,MATCH(B183,[1]Raw_Data!$B$1:$CM$1,0)),INDEX([1]Raw_Data!$B$2:$CM$1001,1,MATCH(C183,[1]Raw_Data!$B$1:$CM$1,0)):INDEX([1]Raw_Data!$B$2:$CM$1001,1000,MATCH(C183,[1]Raw_Data!$B$1:$CM$1,0))),"판단불가"))</f>
        <v/>
      </c>
      <c r="E183" s="21" t="str">
        <f t="shared" si="4"/>
        <v/>
      </c>
      <c r="F183" s="21" t="str">
        <f t="shared" si="5"/>
        <v/>
      </c>
      <c r="G183" s="19"/>
      <c r="H183" s="19"/>
      <c r="I183" s="22"/>
    </row>
    <row r="184" spans="1:9" ht="17.399999999999999">
      <c r="A184" s="18" t="s">
        <v>282</v>
      </c>
      <c r="B184" s="19"/>
      <c r="C184" s="19"/>
      <c r="D184" s="20" t="str">
        <f>IF(OR(B184="",C184=""),"",IFERROR(CORREL(INDEX([1]Raw_Data!$B$2:$CM$1001,1,MATCH(B184,[1]Raw_Data!$B$1:$CM$1,0)):INDEX([1]Raw_Data!$B$2:$CM$1001,1000,MATCH(B184,[1]Raw_Data!$B$1:$CM$1,0)),INDEX([1]Raw_Data!$B$2:$CM$1001,1,MATCH(C184,[1]Raw_Data!$B$1:$CM$1,0)):INDEX([1]Raw_Data!$B$2:$CM$1001,1000,MATCH(C184,[1]Raw_Data!$B$1:$CM$1,0))),"판단불가"))</f>
        <v/>
      </c>
      <c r="E184" s="21" t="str">
        <f t="shared" si="4"/>
        <v/>
      </c>
      <c r="F184" s="21" t="str">
        <f t="shared" si="5"/>
        <v/>
      </c>
      <c r="G184" s="19"/>
      <c r="H184" s="19"/>
      <c r="I184" s="22"/>
    </row>
    <row r="185" spans="1:9" ht="17.399999999999999">
      <c r="A185" s="18" t="s">
        <v>283</v>
      </c>
      <c r="B185" s="19"/>
      <c r="C185" s="19"/>
      <c r="D185" s="20" t="str">
        <f>IF(OR(B185="",C185=""),"",IFERROR(CORREL(INDEX([1]Raw_Data!$B$2:$CM$1001,1,MATCH(B185,[1]Raw_Data!$B$1:$CM$1,0)):INDEX([1]Raw_Data!$B$2:$CM$1001,1000,MATCH(B185,[1]Raw_Data!$B$1:$CM$1,0)),INDEX([1]Raw_Data!$B$2:$CM$1001,1,MATCH(C185,[1]Raw_Data!$B$1:$CM$1,0)):INDEX([1]Raw_Data!$B$2:$CM$1001,1000,MATCH(C185,[1]Raw_Data!$B$1:$CM$1,0))),"판단불가"))</f>
        <v/>
      </c>
      <c r="E185" s="21" t="str">
        <f t="shared" si="4"/>
        <v/>
      </c>
      <c r="F185" s="21" t="str">
        <f t="shared" si="5"/>
        <v/>
      </c>
      <c r="G185" s="19"/>
      <c r="H185" s="19"/>
      <c r="I185" s="22"/>
    </row>
    <row r="186" spans="1:9" ht="17.399999999999999">
      <c r="A186" s="18" t="s">
        <v>284</v>
      </c>
      <c r="B186" s="19"/>
      <c r="C186" s="19"/>
      <c r="D186" s="20" t="str">
        <f>IF(OR(B186="",C186=""),"",IFERROR(CORREL(INDEX([1]Raw_Data!$B$2:$CM$1001,1,MATCH(B186,[1]Raw_Data!$B$1:$CM$1,0)):INDEX([1]Raw_Data!$B$2:$CM$1001,1000,MATCH(B186,[1]Raw_Data!$B$1:$CM$1,0)),INDEX([1]Raw_Data!$B$2:$CM$1001,1,MATCH(C186,[1]Raw_Data!$B$1:$CM$1,0)):INDEX([1]Raw_Data!$B$2:$CM$1001,1000,MATCH(C186,[1]Raw_Data!$B$1:$CM$1,0))),"판단불가"))</f>
        <v/>
      </c>
      <c r="E186" s="21" t="str">
        <f t="shared" si="4"/>
        <v/>
      </c>
      <c r="F186" s="21" t="str">
        <f t="shared" si="5"/>
        <v/>
      </c>
      <c r="G186" s="19"/>
      <c r="H186" s="19"/>
      <c r="I186" s="22"/>
    </row>
    <row r="187" spans="1:9" ht="17.399999999999999">
      <c r="A187" s="18" t="s">
        <v>285</v>
      </c>
      <c r="B187" s="19"/>
      <c r="C187" s="19"/>
      <c r="D187" s="20" t="str">
        <f>IF(OR(B187="",C187=""),"",IFERROR(CORREL(INDEX([1]Raw_Data!$B$2:$CM$1001,1,MATCH(B187,[1]Raw_Data!$B$1:$CM$1,0)):INDEX([1]Raw_Data!$B$2:$CM$1001,1000,MATCH(B187,[1]Raw_Data!$B$1:$CM$1,0)),INDEX([1]Raw_Data!$B$2:$CM$1001,1,MATCH(C187,[1]Raw_Data!$B$1:$CM$1,0)):INDEX([1]Raw_Data!$B$2:$CM$1001,1000,MATCH(C187,[1]Raw_Data!$B$1:$CM$1,0))),"판단불가"))</f>
        <v/>
      </c>
      <c r="E187" s="21" t="str">
        <f t="shared" si="4"/>
        <v/>
      </c>
      <c r="F187" s="21" t="str">
        <f t="shared" si="5"/>
        <v/>
      </c>
      <c r="G187" s="19"/>
      <c r="H187" s="19"/>
      <c r="I187" s="22"/>
    </row>
    <row r="188" spans="1:9" ht="17.399999999999999">
      <c r="A188" s="18" t="s">
        <v>286</v>
      </c>
      <c r="B188" s="19"/>
      <c r="C188" s="19"/>
      <c r="D188" s="20" t="str">
        <f>IF(OR(B188="",C188=""),"",IFERROR(CORREL(INDEX([1]Raw_Data!$B$2:$CM$1001,1,MATCH(B188,[1]Raw_Data!$B$1:$CM$1,0)):INDEX([1]Raw_Data!$B$2:$CM$1001,1000,MATCH(B188,[1]Raw_Data!$B$1:$CM$1,0)),INDEX([1]Raw_Data!$B$2:$CM$1001,1,MATCH(C188,[1]Raw_Data!$B$1:$CM$1,0)):INDEX([1]Raw_Data!$B$2:$CM$1001,1000,MATCH(C188,[1]Raw_Data!$B$1:$CM$1,0))),"판단불가"))</f>
        <v/>
      </c>
      <c r="E188" s="21" t="str">
        <f t="shared" si="4"/>
        <v/>
      </c>
      <c r="F188" s="21" t="str">
        <f t="shared" si="5"/>
        <v/>
      </c>
      <c r="G188" s="19"/>
      <c r="H188" s="19"/>
      <c r="I188" s="22"/>
    </row>
    <row r="189" spans="1:9" ht="17.399999999999999">
      <c r="A189" s="18" t="s">
        <v>287</v>
      </c>
      <c r="B189" s="19"/>
      <c r="C189" s="19"/>
      <c r="D189" s="20" t="str">
        <f>IF(OR(B189="",C189=""),"",IFERROR(CORREL(INDEX([1]Raw_Data!$B$2:$CM$1001,1,MATCH(B189,[1]Raw_Data!$B$1:$CM$1,0)):INDEX([1]Raw_Data!$B$2:$CM$1001,1000,MATCH(B189,[1]Raw_Data!$B$1:$CM$1,0)),INDEX([1]Raw_Data!$B$2:$CM$1001,1,MATCH(C189,[1]Raw_Data!$B$1:$CM$1,0)):INDEX([1]Raw_Data!$B$2:$CM$1001,1000,MATCH(C189,[1]Raw_Data!$B$1:$CM$1,0))),"판단불가"))</f>
        <v/>
      </c>
      <c r="E189" s="21" t="str">
        <f t="shared" si="4"/>
        <v/>
      </c>
      <c r="F189" s="21" t="str">
        <f t="shared" si="5"/>
        <v/>
      </c>
      <c r="G189" s="19"/>
      <c r="H189" s="19"/>
      <c r="I189" s="22"/>
    </row>
    <row r="190" spans="1:9" ht="17.399999999999999">
      <c r="A190" s="18" t="s">
        <v>288</v>
      </c>
      <c r="B190" s="19"/>
      <c r="C190" s="19"/>
      <c r="D190" s="20" t="str">
        <f>IF(OR(B190="",C190=""),"",IFERROR(CORREL(INDEX([1]Raw_Data!$B$2:$CM$1001,1,MATCH(B190,[1]Raw_Data!$B$1:$CM$1,0)):INDEX([1]Raw_Data!$B$2:$CM$1001,1000,MATCH(B190,[1]Raw_Data!$B$1:$CM$1,0)),INDEX([1]Raw_Data!$B$2:$CM$1001,1,MATCH(C190,[1]Raw_Data!$B$1:$CM$1,0)):INDEX([1]Raw_Data!$B$2:$CM$1001,1000,MATCH(C190,[1]Raw_Data!$B$1:$CM$1,0))),"판단불가"))</f>
        <v/>
      </c>
      <c r="E190" s="21" t="str">
        <f t="shared" si="4"/>
        <v/>
      </c>
      <c r="F190" s="21" t="str">
        <f t="shared" si="5"/>
        <v/>
      </c>
      <c r="G190" s="19"/>
      <c r="H190" s="19"/>
      <c r="I190" s="22"/>
    </row>
    <row r="191" spans="1:9" ht="17.399999999999999">
      <c r="A191" s="18" t="s">
        <v>289</v>
      </c>
      <c r="B191" s="19"/>
      <c r="C191" s="19"/>
      <c r="D191" s="20" t="str">
        <f>IF(OR(B191="",C191=""),"",IFERROR(CORREL(INDEX([1]Raw_Data!$B$2:$CM$1001,1,MATCH(B191,[1]Raw_Data!$B$1:$CM$1,0)):INDEX([1]Raw_Data!$B$2:$CM$1001,1000,MATCH(B191,[1]Raw_Data!$B$1:$CM$1,0)),INDEX([1]Raw_Data!$B$2:$CM$1001,1,MATCH(C191,[1]Raw_Data!$B$1:$CM$1,0)):INDEX([1]Raw_Data!$B$2:$CM$1001,1000,MATCH(C191,[1]Raw_Data!$B$1:$CM$1,0))),"판단불가"))</f>
        <v/>
      </c>
      <c r="E191" s="21" t="str">
        <f t="shared" si="4"/>
        <v/>
      </c>
      <c r="F191" s="21" t="str">
        <f t="shared" si="5"/>
        <v/>
      </c>
      <c r="G191" s="19"/>
      <c r="H191" s="19"/>
      <c r="I191" s="22"/>
    </row>
    <row r="192" spans="1:9" ht="17.399999999999999">
      <c r="A192" s="18" t="s">
        <v>290</v>
      </c>
      <c r="B192" s="19"/>
      <c r="C192" s="19"/>
      <c r="D192" s="20" t="str">
        <f>IF(OR(B192="",C192=""),"",IFERROR(CORREL(INDEX([1]Raw_Data!$B$2:$CM$1001,1,MATCH(B192,[1]Raw_Data!$B$1:$CM$1,0)):INDEX([1]Raw_Data!$B$2:$CM$1001,1000,MATCH(B192,[1]Raw_Data!$B$1:$CM$1,0)),INDEX([1]Raw_Data!$B$2:$CM$1001,1,MATCH(C192,[1]Raw_Data!$B$1:$CM$1,0)):INDEX([1]Raw_Data!$B$2:$CM$1001,1000,MATCH(C192,[1]Raw_Data!$B$1:$CM$1,0))),"판단불가"))</f>
        <v/>
      </c>
      <c r="E192" s="21" t="str">
        <f t="shared" si="4"/>
        <v/>
      </c>
      <c r="F192" s="21" t="str">
        <f t="shared" si="5"/>
        <v/>
      </c>
      <c r="G192" s="19"/>
      <c r="H192" s="19"/>
      <c r="I192" s="22"/>
    </row>
    <row r="193" spans="1:9" ht="17.399999999999999">
      <c r="A193" s="18" t="s">
        <v>291</v>
      </c>
      <c r="B193" s="19"/>
      <c r="C193" s="19"/>
      <c r="D193" s="20" t="str">
        <f>IF(OR(B193="",C193=""),"",IFERROR(CORREL(INDEX([1]Raw_Data!$B$2:$CM$1001,1,MATCH(B193,[1]Raw_Data!$B$1:$CM$1,0)):INDEX([1]Raw_Data!$B$2:$CM$1001,1000,MATCH(B193,[1]Raw_Data!$B$1:$CM$1,0)),INDEX([1]Raw_Data!$B$2:$CM$1001,1,MATCH(C193,[1]Raw_Data!$B$1:$CM$1,0)):INDEX([1]Raw_Data!$B$2:$CM$1001,1000,MATCH(C193,[1]Raw_Data!$B$1:$CM$1,0))),"판단불가"))</f>
        <v/>
      </c>
      <c r="E193" s="21" t="str">
        <f t="shared" si="4"/>
        <v/>
      </c>
      <c r="F193" s="21" t="str">
        <f t="shared" si="5"/>
        <v/>
      </c>
      <c r="G193" s="19"/>
      <c r="H193" s="19"/>
      <c r="I193" s="22"/>
    </row>
    <row r="194" spans="1:9" ht="17.399999999999999">
      <c r="A194" s="18" t="s">
        <v>292</v>
      </c>
      <c r="B194" s="19"/>
      <c r="C194" s="19"/>
      <c r="D194" s="20" t="str">
        <f>IF(OR(B194="",C194=""),"",IFERROR(CORREL(INDEX([1]Raw_Data!$B$2:$CM$1001,1,MATCH(B194,[1]Raw_Data!$B$1:$CM$1,0)):INDEX([1]Raw_Data!$B$2:$CM$1001,1000,MATCH(B194,[1]Raw_Data!$B$1:$CM$1,0)),INDEX([1]Raw_Data!$B$2:$CM$1001,1,MATCH(C194,[1]Raw_Data!$B$1:$CM$1,0)):INDEX([1]Raw_Data!$B$2:$CM$1001,1000,MATCH(C194,[1]Raw_Data!$B$1:$CM$1,0))),"판단불가"))</f>
        <v/>
      </c>
      <c r="E194" s="21" t="str">
        <f t="shared" si="4"/>
        <v/>
      </c>
      <c r="F194" s="21" t="str">
        <f t="shared" si="5"/>
        <v/>
      </c>
      <c r="G194" s="19"/>
      <c r="H194" s="19"/>
      <c r="I194" s="22"/>
    </row>
    <row r="195" spans="1:9" ht="17.399999999999999">
      <c r="A195" s="18" t="s">
        <v>293</v>
      </c>
      <c r="B195" s="19"/>
      <c r="C195" s="19"/>
      <c r="D195" s="20" t="str">
        <f>IF(OR(B195="",C195=""),"",IFERROR(CORREL(INDEX([1]Raw_Data!$B$2:$CM$1001,1,MATCH(B195,[1]Raw_Data!$B$1:$CM$1,0)):INDEX([1]Raw_Data!$B$2:$CM$1001,1000,MATCH(B195,[1]Raw_Data!$B$1:$CM$1,0)),INDEX([1]Raw_Data!$B$2:$CM$1001,1,MATCH(C195,[1]Raw_Data!$B$1:$CM$1,0)):INDEX([1]Raw_Data!$B$2:$CM$1001,1000,MATCH(C195,[1]Raw_Data!$B$1:$CM$1,0))),"판단불가"))</f>
        <v/>
      </c>
      <c r="E195" s="21" t="str">
        <f t="shared" si="4"/>
        <v/>
      </c>
      <c r="F195" s="21" t="str">
        <f t="shared" si="5"/>
        <v/>
      </c>
      <c r="G195" s="19"/>
      <c r="H195" s="19"/>
      <c r="I195" s="22"/>
    </row>
    <row r="196" spans="1:9" ht="17.399999999999999">
      <c r="A196" s="18" t="s">
        <v>294</v>
      </c>
      <c r="B196" s="19"/>
      <c r="C196" s="19"/>
      <c r="D196" s="20" t="str">
        <f>IF(OR(B196="",C196=""),"",IFERROR(CORREL(INDEX([1]Raw_Data!$B$2:$CM$1001,1,MATCH(B196,[1]Raw_Data!$B$1:$CM$1,0)):INDEX([1]Raw_Data!$B$2:$CM$1001,1000,MATCH(B196,[1]Raw_Data!$B$1:$CM$1,0)),INDEX([1]Raw_Data!$B$2:$CM$1001,1,MATCH(C196,[1]Raw_Data!$B$1:$CM$1,0)):INDEX([1]Raw_Data!$B$2:$CM$1001,1000,MATCH(C196,[1]Raw_Data!$B$1:$CM$1,0))),"판단불가"))</f>
        <v/>
      </c>
      <c r="E196" s="21" t="str">
        <f t="shared" si="4"/>
        <v/>
      </c>
      <c r="F196" s="21" t="str">
        <f t="shared" si="5"/>
        <v/>
      </c>
      <c r="G196" s="19"/>
      <c r="H196" s="19"/>
      <c r="I196" s="22"/>
    </row>
    <row r="197" spans="1:9" ht="17.399999999999999">
      <c r="A197" s="18" t="s">
        <v>295</v>
      </c>
      <c r="B197" s="19"/>
      <c r="C197" s="19"/>
      <c r="D197" s="20" t="str">
        <f>IF(OR(B197="",C197=""),"",IFERROR(CORREL(INDEX([1]Raw_Data!$B$2:$CM$1001,1,MATCH(B197,[1]Raw_Data!$B$1:$CM$1,0)):INDEX([1]Raw_Data!$B$2:$CM$1001,1000,MATCH(B197,[1]Raw_Data!$B$1:$CM$1,0)),INDEX([1]Raw_Data!$B$2:$CM$1001,1,MATCH(C197,[1]Raw_Data!$B$1:$CM$1,0)):INDEX([1]Raw_Data!$B$2:$CM$1001,1000,MATCH(C197,[1]Raw_Data!$B$1:$CM$1,0))),"판단불가"))</f>
        <v/>
      </c>
      <c r="E197" s="21" t="str">
        <f t="shared" ref="E197:E204" si="6">IF(D197="","",IF(D197="판단불가","판단불가",IF(D197&gt;0,"양",IF(D197&lt;0,"음","없음"))))</f>
        <v/>
      </c>
      <c r="F197" s="21" t="str">
        <f t="shared" ref="F197:F204" si="7">IF(D197="","",IF(D197="판단불가","판단불가",IF(ABS(D197)&lt;0.2,"약함",IF(ABS(D197)&lt;0.5,"중간","강함"))))</f>
        <v/>
      </c>
      <c r="G197" s="19"/>
      <c r="H197" s="19"/>
      <c r="I197" s="22"/>
    </row>
    <row r="198" spans="1:9" ht="17.399999999999999">
      <c r="A198" s="18" t="s">
        <v>296</v>
      </c>
      <c r="B198" s="19"/>
      <c r="C198" s="19"/>
      <c r="D198" s="20" t="str">
        <f>IF(OR(B198="",C198=""),"",IFERROR(CORREL(INDEX([1]Raw_Data!$B$2:$CM$1001,1,MATCH(B198,[1]Raw_Data!$B$1:$CM$1,0)):INDEX([1]Raw_Data!$B$2:$CM$1001,1000,MATCH(B198,[1]Raw_Data!$B$1:$CM$1,0)),INDEX([1]Raw_Data!$B$2:$CM$1001,1,MATCH(C198,[1]Raw_Data!$B$1:$CM$1,0)):INDEX([1]Raw_Data!$B$2:$CM$1001,1000,MATCH(C198,[1]Raw_Data!$B$1:$CM$1,0))),"판단불가"))</f>
        <v/>
      </c>
      <c r="E198" s="21" t="str">
        <f t="shared" si="6"/>
        <v/>
      </c>
      <c r="F198" s="21" t="str">
        <f t="shared" si="7"/>
        <v/>
      </c>
      <c r="G198" s="19"/>
      <c r="H198" s="19"/>
      <c r="I198" s="22"/>
    </row>
    <row r="199" spans="1:9" ht="17.399999999999999">
      <c r="A199" s="18" t="s">
        <v>297</v>
      </c>
      <c r="B199" s="19"/>
      <c r="C199" s="19"/>
      <c r="D199" s="20" t="str">
        <f>IF(OR(B199="",C199=""),"",IFERROR(CORREL(INDEX([1]Raw_Data!$B$2:$CM$1001,1,MATCH(B199,[1]Raw_Data!$B$1:$CM$1,0)):INDEX([1]Raw_Data!$B$2:$CM$1001,1000,MATCH(B199,[1]Raw_Data!$B$1:$CM$1,0)),INDEX([1]Raw_Data!$B$2:$CM$1001,1,MATCH(C199,[1]Raw_Data!$B$1:$CM$1,0)):INDEX([1]Raw_Data!$B$2:$CM$1001,1000,MATCH(C199,[1]Raw_Data!$B$1:$CM$1,0))),"판단불가"))</f>
        <v/>
      </c>
      <c r="E199" s="21" t="str">
        <f t="shared" si="6"/>
        <v/>
      </c>
      <c r="F199" s="21" t="str">
        <f t="shared" si="7"/>
        <v/>
      </c>
      <c r="G199" s="19"/>
      <c r="H199" s="19"/>
      <c r="I199" s="22"/>
    </row>
    <row r="200" spans="1:9" ht="17.399999999999999">
      <c r="A200" s="18" t="s">
        <v>298</v>
      </c>
      <c r="B200" s="19"/>
      <c r="C200" s="19"/>
      <c r="D200" s="20" t="str">
        <f>IF(OR(B200="",C200=""),"",IFERROR(CORREL(INDEX([1]Raw_Data!$B$2:$CM$1001,1,MATCH(B200,[1]Raw_Data!$B$1:$CM$1,0)):INDEX([1]Raw_Data!$B$2:$CM$1001,1000,MATCH(B200,[1]Raw_Data!$B$1:$CM$1,0)),INDEX([1]Raw_Data!$B$2:$CM$1001,1,MATCH(C200,[1]Raw_Data!$B$1:$CM$1,0)):INDEX([1]Raw_Data!$B$2:$CM$1001,1000,MATCH(C200,[1]Raw_Data!$B$1:$CM$1,0))),"판단불가"))</f>
        <v/>
      </c>
      <c r="E200" s="21" t="str">
        <f t="shared" si="6"/>
        <v/>
      </c>
      <c r="F200" s="21" t="str">
        <f t="shared" si="7"/>
        <v/>
      </c>
      <c r="G200" s="19"/>
      <c r="H200" s="19"/>
      <c r="I200" s="22"/>
    </row>
    <row r="201" spans="1:9" ht="17.399999999999999">
      <c r="A201" s="18" t="s">
        <v>299</v>
      </c>
      <c r="B201" s="19"/>
      <c r="C201" s="19"/>
      <c r="D201" s="20" t="str">
        <f>IF(OR(B201="",C201=""),"",IFERROR(CORREL(INDEX([1]Raw_Data!$B$2:$CM$1001,1,MATCH(B201,[1]Raw_Data!$B$1:$CM$1,0)):INDEX([1]Raw_Data!$B$2:$CM$1001,1000,MATCH(B201,[1]Raw_Data!$B$1:$CM$1,0)),INDEX([1]Raw_Data!$B$2:$CM$1001,1,MATCH(C201,[1]Raw_Data!$B$1:$CM$1,0)):INDEX([1]Raw_Data!$B$2:$CM$1001,1000,MATCH(C201,[1]Raw_Data!$B$1:$CM$1,0))),"판단불가"))</f>
        <v/>
      </c>
      <c r="E201" s="21" t="str">
        <f t="shared" si="6"/>
        <v/>
      </c>
      <c r="F201" s="21" t="str">
        <f t="shared" si="7"/>
        <v/>
      </c>
      <c r="G201" s="19"/>
      <c r="H201" s="19"/>
      <c r="I201" s="22"/>
    </row>
    <row r="202" spans="1:9" ht="17.399999999999999">
      <c r="A202" s="18" t="s">
        <v>300</v>
      </c>
      <c r="B202" s="19"/>
      <c r="C202" s="19"/>
      <c r="D202" s="20" t="str">
        <f>IF(OR(B202="",C202=""),"",IFERROR(CORREL(INDEX([1]Raw_Data!$B$2:$CM$1001,1,MATCH(B202,[1]Raw_Data!$B$1:$CM$1,0)):INDEX([1]Raw_Data!$B$2:$CM$1001,1000,MATCH(B202,[1]Raw_Data!$B$1:$CM$1,0)),INDEX([1]Raw_Data!$B$2:$CM$1001,1,MATCH(C202,[1]Raw_Data!$B$1:$CM$1,0)):INDEX([1]Raw_Data!$B$2:$CM$1001,1000,MATCH(C202,[1]Raw_Data!$B$1:$CM$1,0))),"판단불가"))</f>
        <v/>
      </c>
      <c r="E202" s="21" t="str">
        <f t="shared" si="6"/>
        <v/>
      </c>
      <c r="F202" s="21" t="str">
        <f t="shared" si="7"/>
        <v/>
      </c>
      <c r="G202" s="19"/>
      <c r="H202" s="19"/>
      <c r="I202" s="22"/>
    </row>
    <row r="203" spans="1:9" ht="17.399999999999999">
      <c r="A203" s="18" t="s">
        <v>301</v>
      </c>
      <c r="B203" s="19"/>
      <c r="C203" s="19"/>
      <c r="D203" s="20" t="str">
        <f>IF(OR(B203="",C203=""),"",IFERROR(CORREL(INDEX([1]Raw_Data!$B$2:$CM$1001,1,MATCH(B203,[1]Raw_Data!$B$1:$CM$1,0)):INDEX([1]Raw_Data!$B$2:$CM$1001,1000,MATCH(B203,[1]Raw_Data!$B$1:$CM$1,0)),INDEX([1]Raw_Data!$B$2:$CM$1001,1,MATCH(C203,[1]Raw_Data!$B$1:$CM$1,0)):INDEX([1]Raw_Data!$B$2:$CM$1001,1000,MATCH(C203,[1]Raw_Data!$B$1:$CM$1,0))),"판단불가"))</f>
        <v/>
      </c>
      <c r="E203" s="21" t="str">
        <f t="shared" si="6"/>
        <v/>
      </c>
      <c r="F203" s="21" t="str">
        <f t="shared" si="7"/>
        <v/>
      </c>
      <c r="G203" s="19"/>
      <c r="H203" s="19"/>
      <c r="I203" s="22"/>
    </row>
    <row r="204" spans="1:9" ht="17.399999999999999">
      <c r="A204" s="18" t="s">
        <v>302</v>
      </c>
      <c r="B204" s="19"/>
      <c r="C204" s="19"/>
      <c r="D204" s="20" t="str">
        <f>IF(OR(B204="",C204=""),"",IFERROR(CORREL(INDEX([1]Raw_Data!$B$2:$CM$1001,1,MATCH(B204,[1]Raw_Data!$B$1:$CM$1,0)):INDEX([1]Raw_Data!$B$2:$CM$1001,1000,MATCH(B204,[1]Raw_Data!$B$1:$CM$1,0)),INDEX([1]Raw_Data!$B$2:$CM$1001,1,MATCH(C204,[1]Raw_Data!$B$1:$CM$1,0)):INDEX([1]Raw_Data!$B$2:$CM$1001,1000,MATCH(C204,[1]Raw_Data!$B$1:$CM$1,0))),"판단불가"))</f>
        <v/>
      </c>
      <c r="E204" s="21" t="str">
        <f t="shared" si="6"/>
        <v/>
      </c>
      <c r="F204" s="21" t="str">
        <f t="shared" si="7"/>
        <v/>
      </c>
      <c r="G204" s="19"/>
      <c r="H204" s="19"/>
      <c r="I204" s="22"/>
    </row>
  </sheetData>
  <autoFilter ref="A4:I204" xr:uid="{00000000-0009-0000-0000-000002000000}"/>
  <mergeCells count="2">
    <mergeCell ref="A1:I1"/>
    <mergeCell ref="A2:I2"/>
  </mergeCells>
  <phoneticPr fontId="8" type="noConversion"/>
  <conditionalFormatting sqref="B5:C204">
    <cfRule type="expression" dxfId="13" priority="1">
      <formula>AND($B5&lt;&gt;"",$B5=$C5)</formula>
    </cfRule>
  </conditionalFormatting>
  <dataValidations count="3">
    <dataValidation type="list" allowBlank="1" sqref="H5:H204" xr:uid="{05AC35E9-BB91-4B0D-9010-88092119600D}">
      <formula1>"높음,중간,낮음"</formula1>
    </dataValidation>
    <dataValidation type="list" allowBlank="1" sqref="G5:G204" xr:uid="{0BEF2A50-2414-421D-88CE-5A1745143666}">
      <formula1>"일 단위 분석+현업 판단,제한된 데이터+현업 판단,현업 판단,합성 가정"</formula1>
    </dataValidation>
    <dataValidation type="list" allowBlank="1" sqref="B5:C204" xr:uid="{C8E517DD-B2C2-4145-B8B8-129A596C7610}">
      <formula1>VariableHeaders</formula1>
    </dataValidation>
  </dataValidation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1"/>
  <sheetViews>
    <sheetView showGridLines="0" zoomScale="55" zoomScaleNormal="55" workbookViewId="0">
      <selection activeCell="I6" sqref="I6"/>
    </sheetView>
  </sheetViews>
  <sheetFormatPr defaultRowHeight="13.8"/>
  <cols>
    <col min="1" max="1" width="14" customWidth="1"/>
    <col min="2" max="2" width="18" customWidth="1"/>
    <col min="3" max="3" width="22" customWidth="1"/>
    <col min="4" max="4" width="24" customWidth="1"/>
    <col min="5" max="5" width="23.796875" customWidth="1"/>
    <col min="6" max="6" width="22" customWidth="1"/>
    <col min="7" max="7" width="32" customWidth="1"/>
    <col min="8" max="8" width="14" customWidth="1"/>
    <col min="9" max="9" width="12" customWidth="1"/>
    <col min="10" max="10" width="17.09765625" bestFit="1" customWidth="1"/>
    <col min="11" max="11" width="22.09765625" customWidth="1"/>
    <col min="12" max="12" width="28" customWidth="1"/>
  </cols>
  <sheetData>
    <row r="1" spans="1:24" ht="28.05" customHeight="1">
      <c r="A1" s="30" t="s">
        <v>38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</row>
    <row r="2" spans="1:24" ht="31.95" customHeight="1">
      <c r="A2" s="33" t="s">
        <v>39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</row>
    <row r="3" spans="1:2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24" ht="34.049999999999997" customHeight="1">
      <c r="A4" s="2" t="s">
        <v>40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46</v>
      </c>
      <c r="H4" s="2" t="s">
        <v>47</v>
      </c>
      <c r="I4" s="2" t="s">
        <v>48</v>
      </c>
      <c r="J4" s="2" t="s">
        <v>49</v>
      </c>
      <c r="K4" s="2" t="s">
        <v>50</v>
      </c>
      <c r="L4" s="2" t="s">
        <v>51</v>
      </c>
    </row>
    <row r="5" spans="1:24" ht="72" customHeight="1">
      <c r="A5" s="3" t="s">
        <v>52</v>
      </c>
      <c r="B5" s="4" t="s">
        <v>383</v>
      </c>
      <c r="C5" s="4" t="s">
        <v>456</v>
      </c>
      <c r="D5" s="8" t="s">
        <v>385</v>
      </c>
      <c r="E5" s="4" t="s">
        <v>348</v>
      </c>
      <c r="F5" s="4" t="s">
        <v>386</v>
      </c>
      <c r="G5" s="4" t="s">
        <v>384</v>
      </c>
      <c r="H5" s="4" t="s">
        <v>73</v>
      </c>
      <c r="I5" s="4" t="s">
        <v>304</v>
      </c>
      <c r="J5" s="4" t="s">
        <v>457</v>
      </c>
      <c r="K5" s="10" t="s">
        <v>388</v>
      </c>
      <c r="L5" s="10" t="s">
        <v>387</v>
      </c>
    </row>
    <row r="6" spans="1:24" s="25" customFormat="1" ht="75" customHeight="1">
      <c r="A6" s="3" t="s">
        <v>389</v>
      </c>
      <c r="B6" s="4" t="s">
        <v>383</v>
      </c>
      <c r="C6" s="4" t="s">
        <v>456</v>
      </c>
      <c r="D6" s="8" t="s">
        <v>385</v>
      </c>
      <c r="E6" s="4" t="s">
        <v>350</v>
      </c>
      <c r="F6" s="4" t="s">
        <v>386</v>
      </c>
      <c r="G6" s="4" t="s">
        <v>384</v>
      </c>
      <c r="H6" s="4" t="s">
        <v>73</v>
      </c>
      <c r="I6" s="4" t="s">
        <v>32</v>
      </c>
      <c r="J6" s="4" t="s">
        <v>457</v>
      </c>
      <c r="K6" s="10" t="s">
        <v>388</v>
      </c>
      <c r="L6" s="10" t="s">
        <v>387</v>
      </c>
    </row>
    <row r="7" spans="1:24" s="25" customFormat="1" ht="64.2" customHeight="1">
      <c r="A7" s="3" t="s">
        <v>390</v>
      </c>
      <c r="B7" s="4" t="s">
        <v>383</v>
      </c>
      <c r="C7" s="4" t="s">
        <v>464</v>
      </c>
      <c r="D7" s="8" t="s">
        <v>385</v>
      </c>
      <c r="E7" s="4" t="s">
        <v>452</v>
      </c>
      <c r="F7" s="4" t="s">
        <v>386</v>
      </c>
      <c r="G7" s="8" t="s">
        <v>453</v>
      </c>
      <c r="H7" s="4" t="s">
        <v>73</v>
      </c>
      <c r="I7" s="4" t="s">
        <v>32</v>
      </c>
      <c r="J7" s="4" t="s">
        <v>454</v>
      </c>
      <c r="K7" s="10" t="s">
        <v>388</v>
      </c>
      <c r="L7" s="10" t="s">
        <v>455</v>
      </c>
    </row>
    <row r="8" spans="1:24" s="25" customFormat="1" ht="64.2" customHeight="1">
      <c r="A8" s="3" t="s">
        <v>391</v>
      </c>
      <c r="B8" s="4" t="s">
        <v>394</v>
      </c>
      <c r="C8" s="4" t="s">
        <v>465</v>
      </c>
      <c r="D8" s="8" t="s">
        <v>385</v>
      </c>
      <c r="E8" s="4" t="s">
        <v>352</v>
      </c>
      <c r="F8" s="4" t="s">
        <v>386</v>
      </c>
      <c r="G8" s="8" t="s">
        <v>399</v>
      </c>
      <c r="H8" s="4" t="s">
        <v>73</v>
      </c>
      <c r="I8" s="4" t="s">
        <v>32</v>
      </c>
      <c r="J8" s="4" t="s">
        <v>12</v>
      </c>
      <c r="K8" s="4" t="s">
        <v>53</v>
      </c>
      <c r="L8" s="10" t="s">
        <v>401</v>
      </c>
    </row>
    <row r="9" spans="1:24" s="25" customFormat="1" ht="64.2" customHeight="1">
      <c r="A9" s="3" t="s">
        <v>392</v>
      </c>
      <c r="B9" s="4" t="s">
        <v>394</v>
      </c>
      <c r="C9" s="4" t="s">
        <v>465</v>
      </c>
      <c r="D9" s="8" t="s">
        <v>385</v>
      </c>
      <c r="E9" s="4" t="s">
        <v>353</v>
      </c>
      <c r="F9" s="4" t="s">
        <v>386</v>
      </c>
      <c r="G9" s="8" t="s">
        <v>399</v>
      </c>
      <c r="H9" s="4" t="s">
        <v>73</v>
      </c>
      <c r="I9" s="4" t="s">
        <v>32</v>
      </c>
      <c r="J9" s="4" t="s">
        <v>12</v>
      </c>
      <c r="K9" s="4" t="s">
        <v>53</v>
      </c>
      <c r="L9" s="10" t="s">
        <v>401</v>
      </c>
    </row>
    <row r="10" spans="1:24" s="25" customFormat="1" ht="64.2" customHeight="1">
      <c r="A10" s="3" t="s">
        <v>393</v>
      </c>
      <c r="B10" s="4" t="s">
        <v>394</v>
      </c>
      <c r="C10" s="4" t="s">
        <v>466</v>
      </c>
      <c r="D10" s="8" t="s">
        <v>395</v>
      </c>
      <c r="E10" s="4" t="s">
        <v>443</v>
      </c>
      <c r="F10" s="10" t="s">
        <v>397</v>
      </c>
      <c r="G10" s="8" t="s">
        <v>398</v>
      </c>
      <c r="H10" s="4" t="s">
        <v>73</v>
      </c>
      <c r="I10" s="4" t="s">
        <v>304</v>
      </c>
      <c r="J10" s="4" t="s">
        <v>12</v>
      </c>
      <c r="K10" s="4" t="s">
        <v>53</v>
      </c>
      <c r="L10" s="4" t="s">
        <v>450</v>
      </c>
    </row>
    <row r="11" spans="1:24" s="25" customFormat="1" ht="64.2" customHeight="1">
      <c r="A11" s="3" t="s">
        <v>463</v>
      </c>
      <c r="B11" s="4" t="s">
        <v>394</v>
      </c>
      <c r="C11" s="4" t="s">
        <v>465</v>
      </c>
      <c r="D11" s="8" t="s">
        <v>385</v>
      </c>
      <c r="E11" s="4" t="s">
        <v>396</v>
      </c>
      <c r="F11" s="10" t="s">
        <v>386</v>
      </c>
      <c r="G11" s="4" t="s">
        <v>400</v>
      </c>
      <c r="H11" s="4" t="s">
        <v>73</v>
      </c>
      <c r="I11" s="4" t="s">
        <v>304</v>
      </c>
      <c r="J11" s="4" t="s">
        <v>12</v>
      </c>
      <c r="K11" s="4" t="s">
        <v>53</v>
      </c>
      <c r="L11" s="4" t="s">
        <v>451</v>
      </c>
    </row>
  </sheetData>
  <mergeCells count="2">
    <mergeCell ref="A1:X1"/>
    <mergeCell ref="A2:X2"/>
  </mergeCells>
  <phoneticPr fontId="8" type="noConversion"/>
  <dataValidations count="3">
    <dataValidation type="list" sqref="H5:H306" xr:uid="{00000000-0002-0000-0400-000000000000}">
      <formula1>"수분,수시간,반나절,1일,수일,모름"</formula1>
    </dataValidation>
    <dataValidation type="list" sqref="I5:I306" xr:uid="{00000000-0002-0000-0400-000001000000}">
      <formula1>"낮음,중간,높음,치명적"</formula1>
    </dataValidation>
    <dataValidation type="list" sqref="K5:K306" xr:uid="{00000000-0002-0000-0400-000002000000}">
      <formula1>"증가,감소,변동성 증가,영향 없음,모름"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변수 및 공정명</vt:lpstr>
      <vt:lpstr>KPI_목록</vt:lpstr>
      <vt:lpstr>변수_목록</vt:lpstr>
      <vt:lpstr>변수통계</vt:lpstr>
      <vt:lpstr>관계분석</vt:lpstr>
      <vt:lpstr>이상시나리오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2026-08-11T06:56:23Z</dcterms:modified>
</cp:coreProperties>
</file>