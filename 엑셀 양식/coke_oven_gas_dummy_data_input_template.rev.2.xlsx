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7141d28a5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변수 및 공정명" sheetId="14" r:id="Re2f3d521795841a2"/>
    <x:sheet xmlns:r="http://schemas.openxmlformats.org/officeDocument/2006/relationships" name="KPI_목록" sheetId="2" r:id="Rb2e654eb3588457f"/>
    <x:sheet xmlns:r="http://schemas.openxmlformats.org/officeDocument/2006/relationships" name="변수_목록" sheetId="3" r:id="R7638ba7af24c46a0"/>
    <x:sheet xmlns:r="http://schemas.openxmlformats.org/officeDocument/2006/relationships" name="변수통계" sheetId="12" r:id="R85924064573b4658"/>
    <x:sheet xmlns:r="http://schemas.openxmlformats.org/officeDocument/2006/relationships" name="관계분석" sheetId="13" r:id="R1fbd4de71bda4205"/>
    <x:sheet xmlns:r="http://schemas.openxmlformats.org/officeDocument/2006/relationships" name="이상시나리오" sheetId="5" r:id="R5475153ae1cc4389"/>
  </x:sheets>
  <x:definedNames>
    <x:definedName name="VariableHeaders">[1]Raw_Data!$B$1:$CM$1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SKEW 함수로 계산한 왜도입니다. 0에 가까울수록 대칭입니다.</x:t>
        </x:r>
      </x:text>
    </x:comment>
    <x:comment ref="E4" authorId="0">
      <x:text>
        <x:r>
          <x:t>표준편차 ÷ 평균 절댓값. 10% 이하 낮음, 10~20% 중간, 20% 초과 높음.</x:t>
        </x:r>
      </x:text>
    </x:comment>
    <x:comment ref="G4" authorId="0">
      <x:text>
        <x:r>
          <x:t>연속 일자의 절대 변화율 평균입니다. 5% 이하 완만, 5~10% 보통, 10% 초과 빠름.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D4" authorId="0">
      <x:text>
        <x:r>
          <x:t>CORREL 함수로 계산한 피어슨 상관계수입니다. -1~1 범위이며, 인과관계나 선후관계를 자동으로 증명하지 않습니다.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<x:sst xmlns:x="http://schemas.openxmlformats.org/spreadsheetml/2006/main">
  <x:si>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NO</x:t>
  </x:si>
  <x:si>
    <x:t xml:space="preserve">변수명</x:t>
  </x:si>
  <x:si>
    <x:t xml:space="preserve">변수구분</x:t>
  </x:si>
  <x:si>
    <x:t xml:space="preserve">공정명</x:t>
  </x:si>
  <x:si>
    <x:t xml:space="preserve">KPI_U04_QTY_G01</x:t>
  </x:si>
  <x:si>
    <x:t xml:space="preserve">KPI</x:t>
  </x:si>
  <x:si>
    <x:t xml:space="preserve">KPI_U04_OUT_P01</x:t>
  </x:si>
  <x:si>
    <x:t xml:space="preserve">KPI_U04_OUT_P02</x:t>
  </x:si>
  <x:si>
    <x:t xml:space="preserve">KPI_U04_OUT_P03</x:t>
  </x:si>
  <x:si>
    <x:t xml:space="preserve">KPI_U04_UI_P01</x:t>
  </x:si>
  <x:si>
    <x:t xml:space="preserve">KPI_U04_UI_P02</x:t>
  </x:si>
  <x:si>
    <x:t xml:space="preserve">KPI_U04_UI_P03</x:t>
  </x:si>
  <x:si>
    <x:t xml:space="preserve">KPI_U04_CHEM_M01</x:t>
  </x:si>
  <x:si>
    <x:t xml:space="preserve">KPI/VAR</x:t>
  </x:si>
  <x:si>
    <x:t xml:space="preserve">PR04-01; PR04-02</x:t>
  </x:si>
  <x:si>
    <x:t xml:space="preserve">KPI_U04_CHEM_M02</x:t>
  </x:si>
  <x:si>
    <x:t xml:space="preserve">KPI_U04_CHEM_U01</x:t>
  </x:si>
  <x:si>
    <x:t xml:space="preserve">KPI_U04_CHEM_U02</x:t>
  </x:si>
  <x:si>
    <x:t xml:space="preserve">KPI_U04_CONTAIN_S01</x:t>
  </x:si>
  <x:si>
    <x:t xml:space="preserve">KPI_U04_STEAM_M01</x:t>
  </x:si>
  <x:si>
    <x:t xml:space="preserve">PR03-01</x:t>
  </x:si>
  <x:si>
    <x:t xml:space="preserve">KPI_U04_STEAM_M02</x:t>
  </x:si>
  <x:si>
    <x:t xml:space="preserve">PR03-02</x:t>
  </x:si>
  <x:si>
    <x:t xml:space="preserve">KPI_U04_STEAM_M03</x:t>
  </x:si>
  <x:si>
    <x:t xml:space="preserve">PR04-01</x:t>
  </x:si>
  <x:si>
    <x:t xml:space="preserve">KPI_U04_STEAM_M04</x:t>
  </x:si>
  <x:si>
    <x:t xml:space="preserve">PR04-02</x:t>
  </x:si>
  <x:si>
    <x:t xml:space="preserve">KPI_U04_STEAM_M05</x:t>
  </x:si>
  <x:si>
    <x:t xml:space="preserve">PR05-01</x:t>
  </x:si>
  <x:si>
    <x:t xml:space="preserve">KPI_U04_STEAM_M06</x:t>
  </x:si>
  <x:si>
    <x:t xml:space="preserve">PR05-02</x:t>
  </x:si>
  <x:si>
    <x:t xml:space="preserve">VAR_U04_UTIL_U01</x:t>
  </x:si>
  <x:si>
    <x:t xml:space="preserve">VAR</x:t>
  </x:si>
  <x:si>
    <x:t xml:space="preserve">VAR_U04_FEED_U02</x:t>
  </x:si>
  <x:si>
    <x:t xml:space="preserve">VAR_U04_VM_U03</x:t>
  </x:si>
  <x:si>
    <x:t xml:space="preserve">VAR_U04_CONC_H01</x:t>
  </x:si>
  <x:si>
    <x:t xml:space="preserve">PR02</x:t>
  </x:si>
  <x:si>
    <x:t xml:space="preserve">VAR_U04_FLOW_H02</x:t>
  </x:si>
  <x:si>
    <x:t xml:space="preserve">VAR_U04_RATIO_H03</x:t>
  </x:si>
  <x:si>
    <x:t xml:space="preserve">VAR_U04_TEMP_P02</x:t>
  </x:si>
  <x:si>
    <x:t xml:space="preserve">PR01</x:t>
  </x:si>
  <x:si>
    <x:t xml:space="preserve">VAR_U04_TEMP_P03</x:t>
  </x:si>
  <x:si>
    <x:t xml:space="preserve">VAR_U04_DP_P04</x:t>
  </x:si>
  <x:si>
    <x:t xml:space="preserve">VAR_U04_TEMP_D01</x:t>
  </x:si>
  <x:si>
    <x:t xml:space="preserve">VAR_U04_FLOW_D02</x:t>
  </x:si>
  <x:si>
    <x:t xml:space="preserve">PR05-01 ; PR05-02 ; PR05-03</x:t>
  </x:si>
  <x:si>
    <x:t xml:space="preserve">VAR_U04_U_D03</x:t>
  </x:si>
  <x:si>
    <x:t xml:space="preserve">PR05-03</x:t>
  </x:si>
  <x:si>
    <x:t xml:space="preserve">1. KPI 목록</x:t>
  </x:si>
  <x:si>
    <x:t xml:space="preserve">관리 대상 KPI를 작성합니다. KPI와 변수로 함께 쓰이는 항목은 ‘KPI_변수_매핑’ 시트에 한 줄로 연결하세요.</x:t>
  </x:si>
  <x:si>
    <x:t xml:space="preserve">KPI_ID</x:t>
  </x:si>
  <x:si>
    <x:t xml:space="preserve">KPI명</x:t>
  </x:si>
  <x:si>
    <x:t xml:space="preserve">KPI 설명</x:t>
  </x:si>
  <x:si>
    <x:t xml:space="preserve">관리 방향</x:t>
  </x:si>
  <x:si>
    <x:t xml:space="preserve">관리 주기</x:t>
  </x:si>
  <x:si>
    <x:t xml:space="preserve">단위</x:t>
  </x:si>
  <x:si>
    <x:t xml:space="preserve">정상 기준/범위</x:t>
  </x:si>
  <x:si>
    <x:t xml:space="preserve">경고 기준</x:t>
  </x:si>
  <x:si>
    <x:t xml:space="preserve">이상 기준</x:t>
  </x:si>
  <x:si>
    <x:t xml:space="preserve">계산식</x:t>
  </x:si>
  <x:si>
    <x:t xml:space="preserve">원가 연결 여부</x:t>
  </x:si>
  <x:si>
    <x:t xml:space="preserve">비고</x:t>
  </x:si>
  <x:si>
    <x:t xml:space="preserve">가스량</x:t>
  </x:si>
  <x:si>
    <x:t xml:space="preserve">목표범위 유지</x:t>
  </x:si>
  <x:si>
    <x:t xml:space="preserve">일</x:t>
  </x:si>
  <x:si>
    <x:t xml:space="preserve">Nm3</x:t>
  </x:si>
  <x:si>
    <x:r>
      <x:rPr>
        <x:sz val="10"/>
        <x:color rgb="FF1F2937"/>
        <x:rFont val="돋움"/>
        <x:family val="2"/>
      </x:rPr>
      <x:t xml:space="preserve">기준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범위</x:t>
    </x:r>
    <x:r>
      <x:rPr>
        <x:sz val="10"/>
        <x:color rgb="FF1F2937"/>
        <x:rFont val="Arial"/>
        <x:family val="2"/>
      </x:rPr>
      <x:t xml:space="preserve"> 95~105% </x:t>
    </x:r>
    <x:r>
      <x:rPr>
        <x:sz val="10"/>
        <x:color rgb="FF1F2937"/>
        <x:rFont val="맑은 고딕"/>
        <x:family val="3"/>
      </x:rPr>
      <x:t xml:space="preserve">내</x:t>
    </x:r>
  </x:si>
  <x:si>
    <x:r>
      <x:rPr>
        <x:sz val="10"/>
        <x:color rgb="FF1F2937"/>
        <x:rFont val="맑은 고딕"/>
        <x:family val="3"/>
      </x:rPr>
      <x:t xml:space="preserve">기준 범위</x:t>
    </x:r>
    <x:r>
      <x:rPr>
        <x:sz val="10"/>
        <x:color rgb="FF1F2937"/>
        <x:rFont val="Arial"/>
        <x:family val="2"/>
      </x:rPr>
      <x:t xml:space="preserve"> 95~96%, 104~105%</x:t>
    </x:r>
  </x:si>
  <x:si>
    <x:r>
      <x:rPr>
        <x:sz val="10"/>
        <x:color rgb="FF1F2937"/>
        <x:rFont val="돋움"/>
        <x:family val="2"/>
      </x:rPr>
      <x:t xml:space="preserve">기준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범위</x:t>
    </x:r>
    <x:r>
      <x:rPr>
        <x:sz val="10"/>
        <x:color rgb="FF1F2937"/>
        <x:rFont val="Arial"/>
        <x:family val="2"/>
      </x:rPr>
      <x:t xml:space="preserve"> 95~105% </x:t>
    </x:r>
    <x:r>
      <x:rPr>
        <x:sz val="10"/>
        <x:color rgb="FF1F2937"/>
        <x:rFont val="돋움"/>
        <x:family val="2"/>
      </x:rPr>
      <x:t xml:space="preserve">초과</x:t>
    </x:r>
  </x:si>
  <x:si>
    <x:t xml:space="preserve">계측값</x:t>
  </x:si>
  <x:si>
    <x:t xml:space="preserve">예</x:t>
  </x:si>
  <x:si>
    <x:r>
      <x:rPr>
        <x:sz val="10"/>
        <x:color rgb="FF1F2937"/>
        <x:rFont val="맑은 고딕"/>
        <x:family val="3"/>
      </x:rPr>
      <x:t xml:space="preserve">실적관리보다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기준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대비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관리가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중요</x:t>
    </x:r>
    <x:r>
      <x:rPr>
        <x:sz val="10"/>
        <x:color rgb="FF1F2937"/>
        <x:rFont val="Arial"/>
        <x:family val="2"/>
      </x:rPr>
      <x:t xml:space="preserve">. </x:t>
    </x:r>
  </x:si>
  <x:si>
    <x:t xml:space="preserve">A 생산량</x:t>
  </x:si>
  <x:si>
    <x:t xml:space="preserve">높을수록 좋음</x:t>
  </x:si>
  <x:si>
    <x:t xml:space="preserve">kg</x:t>
  </x:si>
  <x:si>
    <x:t xml:space="preserve">원단위 기준에 따라 감</x:t>
  </x:si>
  <x:si>
    <x:t xml:space="preserve">B 생산량</x:t>
  </x:si>
  <x:si>
    <x:t xml:space="preserve">C 생산량</x:t>
  </x:si>
  <x:si>
    <x:t xml:space="preserve">A 원단위</x:t>
  </x:si>
  <x:si>
    <x:r>
      <x:t xml:space="preserve">kg/</x:t>
    </x:r>
    <x:r>
      <x:rPr>
        <x:sz val="10"/>
        <x:color rgb="FF1F2937"/>
        <x:rFont val="맑은 고딕"/>
        <x:family val="3"/>
      </x:rPr>
      <x:t xml:space="preserve">원료</x:t>
    </x:r>
    <x:r>
      <x:rPr>
        <x:sz val="10"/>
        <x:color rgb="FF1F2937"/>
        <x:rFont val="Aptos"/>
      </x:rPr>
      <x:t xml:space="preserve">(ton)</x:t>
    </x:r>
  </x:si>
  <x:si>
    <x:t xml:space="preserve">원단위 평균값 정상 수준 유지</x:t>
  </x:si>
  <x:si>
    <x:r>
      <x:rPr>
        <x:sz val="10"/>
        <x:color rgb="FF1F2937"/>
        <x:rFont val="맑은 고딕"/>
        <x:family val="3"/>
      </x:rPr>
      <x:t xml:space="preserve">정상범위</x:t>
    </x:r>
    <x:r>
      <x:rPr>
        <x:sz val="10"/>
        <x:color rgb="FF1F2937"/>
        <x:rFont val="Arial"/>
        <x:family val="2"/>
      </x:rPr>
      <x:t xml:space="preserve"> 3% </x:t>
    </x:r>
    <x:r>
      <x:rPr>
        <x:sz val="10"/>
        <x:color rgb="FF1F2937"/>
        <x:rFont val="맑은 고딕"/>
        <x:family val="3"/>
      </x:rPr>
      <x:t xml:space="preserve">이상</x:t>
    </x:r>
  </x:si>
  <x:si>
    <x:r>
      <x:rPr>
        <x:sz val="10"/>
        <x:color rgb="FF1F2937"/>
        <x:rFont val="맑은 고딕"/>
        <x:family val="3"/>
      </x:rPr>
      <x:t xml:space="preserve">정상범위</x:t>
    </x:r>
    <x:r>
      <x:rPr>
        <x:sz val="10"/>
        <x:color rgb="FF1F2937"/>
        <x:rFont val="Arial"/>
        <x:family val="2"/>
      </x:rPr>
      <x:t xml:space="preserve"> 5% </x:t>
    </x:r>
    <x:r>
      <x:rPr>
        <x:sz val="10"/>
        <x:color rgb="FF1F2937"/>
        <x:rFont val="돋움"/>
        <x:family val="2"/>
      </x:rPr>
      <x:t xml:space="preserve">이상 하락</x:t>
    </x:r>
  </x:si>
  <x:si>
    <x:t xml:space="preserve">(KPI_U04_OUT_P01 x 1000) / VAR_U04_FEED_U02</x:t>
  </x:si>
  <x:si>
    <x:t xml:space="preserve">B 원단위</x:t>
  </x:si>
  <x:si>
    <x:t xml:space="preserve">(KPI_U04_OUT_P02 x 1000) / VAR_U04_FEED_U02</x:t>
  </x:si>
  <x:si>
    <x:t xml:space="preserve">C 원단위</x:t>
  </x:si>
  <x:si>
    <x:t xml:space="preserve">(KPI_U04_OUT_P03 x 1000) / VAR_U04_FEED_U02</x:t>
  </x:si>
  <x:si>
    <x:t xml:space="preserve">낮을수록 좋음</x:t>
  </x:si>
  <x:si>
    <x:t xml:space="preserve">g/Nm3</x:t>
  </x:si>
  <x:si>
    <x:r>
      <x:rPr>
        <x:sz val="10"/>
        <x:color rgb="FF1F2937"/>
        <x:rFont val="맑은 고딕"/>
        <x:family val="3"/>
      </x:rPr>
      <x:t xml:space="preserve">목표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수치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돋움"/>
        <x:family val="2"/>
      </x:rPr>
      <x:t xml:space="preserve">이내</x:t>
    </x:r>
  </x:si>
  <x:si>
    <x:r>
      <x:rPr>
        <x:sz val="10"/>
        <x:color rgb="FF1F2937"/>
        <x:rFont val="맑은 고딕"/>
        <x:family val="3"/>
      </x:rPr>
      <x:t xml:space="preserve">목표수준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근접</x:t>
    </x:r>
    <x:r>
      <x:rPr>
        <x:sz val="10"/>
        <x:color rgb="FF1F2937"/>
        <x:rFont val="Aptos"/>
      </x:rPr>
      <x:t xml:space="preserve">(3% 내외)</x:t>
    </x:r>
  </x:si>
  <x:si>
    <x:t xml:space="preserve">목표수준 초과</x:t>
  </x:si>
  <x:si>
    <x:t xml:space="preserve">아니오</x:t>
  </x:si>
  <x:si>
    <x:r>
      <x:rPr>
        <x:sz val="10"/>
        <x:color rgb="FF1F2937"/>
        <x:rFont val="맑은 고딕"/>
        <x:family val="3"/>
      </x:rPr>
      <x:t xml:space="preserve">법적 규제로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준수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필요</x:t>
    </x:r>
  </x:si>
  <x:si>
    <x:t xml:space="preserve">2. 공정·설비 변수 목록</x:t>
  </x:si>
  <x:si>
    <x:t xml:space="preserve">KPI를 설명하거나 이상 원인을 분석하는 변수를 작성합니다. 같은 항목이 KPI이기도 하면 ‘KPI_변수_매핑’ 시트에서 역할을 함께 등록하세요.</x:t>
  </x:si>
  <x:si>
    <x:t xml:space="preserve">변수_ID</x:t>
  </x:si>
  <x:si>
    <x:t xml:space="preserve">데이터 주기</x:t>
  </x:si>
  <x:si>
    <x:t xml:space="preserve">데이터 형태</x:t>
  </x:si>
  <x:si>
    <x:t xml:space="preserve">계절/주기</x:t>
  </x:si>
  <x:si>
    <x:t xml:space="preserve">정상 상태 설명</x:t>
  </x:si>
  <x:si>
    <x:t xml:space="preserve">정상 범위(선택)</x:t>
  </x:si>
  <x:si>
    <x:t xml:space="preserve">경고 범위(선택)</x:t>
  </x:si>
  <x:si>
    <x:t xml:space="preserve">이상 범위(선택)</x:t>
  </x:si>
  <x:si>
    <x:t xml:space="preserve">결측/센서 이상 형태</x:t>
  </x:si>
  <x:si>
    <x:r>
      <x:rPr>
        <x:b/>
        <x:sz val="10"/>
        <x:color rgb="FFFFFFFF"/>
        <x:rFont val="Aptos"/>
        <x:family val="3"/>
      </x:rPr>
      <x:t xml:space="preserve">KPI</x:t>
    </x:r>
    <x:r>
      <x:rPr>
        <x:b/>
        <x:sz val="10"/>
        <x:color rgb="FFFFFFFF"/>
        <x:rFont val="Aptos"/>
        <x:family val="3"/>
      </x:rPr>
      <x:t xml:space="preserve">로도 사용 여부</x:t>
    </x:r>
  </x:si>
  <x:si>
    <x:t xml:space="preserve">필수 여부</x:t>
  </x:si>
  <x:si>
    <x:t xml:space="preserve">보안 메모</x:t>
  </x:si>
  <x:si>
    <x:t xml:space="preserve">약품A 사용량</x:t>
  </x:si>
  <x:si>
    <x:t xml:space="preserve">1일</x:t>
  </x:si>
  <x:si>
    <x:t xml:space="preserve">연속형</x:t>
  </x:si>
  <x:si>
    <x:t xml:space="preserve">없음</x:t>
  </x:si>
  <x:si>
    <x:t xml:space="preserve">완만하게 변동</x:t>
  </x:si>
  <x:si>
    <x:t xml:space="preserve">모름</x:t>
  </x:si>
  <x:si>
    <x:t xml:space="preserve">급격한 이탈</x:t>
  </x:si>
  <x:si>
    <x:t xml:space="preserve">필수</x:t>
  </x:si>
  <x:si>
    <x:t xml:space="preserve">약품B 사용량</x:t>
  </x:si>
  <x:si>
    <x:t xml:space="preserve">약품A 원단위</x:t>
  </x:si>
  <x:si>
    <x:r>
      <x:t xml:space="preserve">kg/</x:t>
    </x:r>
    <x:r>
      <x:rPr>
        <x:sz val="10"/>
        <x:color rgb="FF1F2937"/>
        <x:rFont val="맑은 고딕"/>
        <x:family val="3"/>
      </x:rPr>
      <x:t xml:space="preserve">천</x:t>
    </x:r>
    <x:r>
      <x:rPr>
        <x:sz val="10"/>
        <x:color rgb="FF1F2937"/>
        <x:rFont val="Arial"/>
        <x:family val="2"/>
      </x:rPr>
      <x:t xml:space="preserve">Nm3(</x:t>
    </x:r>
    <x:r>
      <x:rPr>
        <x:sz val="10"/>
        <x:color rgb="FF1F2937"/>
        <x:rFont val="맑은 고딕"/>
        <x:family val="3"/>
      </x:rPr>
      <x:t xml:space="preserve">가스량</x:t>
    </x:r>
    <x:r>
      <x:rPr>
        <x:sz val="10"/>
        <x:color rgb="FF1F2937"/>
        <x:rFont val="Arial"/>
        <x:family val="2"/>
      </x:rPr>
      <x:t xml:space="preserve">)</x:t>
    </x:r>
  </x:si>
  <x:si>
    <x:t xml:space="preserve">KPI_U04_CHEM_M01 * 1000 / KPI_U04_QTY_G01</x:t>
  </x:si>
  <x:si>
    <x:t xml:space="preserve">약품B 원단위</x:t>
  </x:si>
  <x:si>
    <x:t xml:space="preserve">KPI_U04_CHEM_M02 * 1000 / KPI_U04_QTY_G01</x:t>
  </x:si>
  <x:si>
    <x:t xml:space="preserve">스팀사용량 A</x:t>
  </x:si>
  <x:si>
    <x:t xml:space="preserve">ton</x:t>
  </x:si>
  <x:si>
    <x:t xml:space="preserve">1시간</x:t>
  </x:si>
  <x:si>
    <x:t xml:space="preserve">고정값 또는 0으로 고정</x:t>
  </x:si>
  <x:si>
    <x:t xml:space="preserve">스팀사용량 B</x:t>
  </x:si>
  <x:si>
    <x:t xml:space="preserve">스팀사용량 C</x:t>
  </x:si>
  <x:si>
    <x:t xml:space="preserve">스팀사용량 D</x:t>
  </x:si>
  <x:si>
    <x:t xml:space="preserve">스팀사용량 E</x:t>
  </x:si>
  <x:si>
    <x:t xml:space="preserve">스팀사용량 F</x:t>
  </x:si>
  <x:si>
    <x:t xml:space="preserve">설비가동율</x:t>
  </x:si>
  <x:si>
    <x:t xml:space="preserve">%</x:t>
  </x:si>
  <x:si>
    <x:r>
      <x:rPr>
        <x:sz val="10"/>
        <x:color rgb="FF1F2937"/>
        <x:rFont val="맑은 고딕"/>
        <x:family val="3"/>
      </x:rPr>
      <x:t xml:space="preserve">설비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수리기간에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따라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변동</x:t>
    </x:r>
  </x:si>
  <x:si>
    <x:t xml:space="preserve">원료장입량</x:t>
  </x:si>
  <x:si>
    <x:t xml:space="preserve">휘발분</x:t>
  </x:si>
  <x:si>
    <x:t xml:space="preserve">농도</x:t>
  </x:si>
  <x:si>
    <x:t xml:space="preserve">g/L</x:t>
  </x:si>
  <x:si>
    <x:t xml:space="preserve">분석값</x:t>
  </x:si>
  <x:si>
    <x:t xml:space="preserve">유량</x:t>
  </x:si>
  <x:si>
    <x:t xml:space="preserve">m3/h</x:t>
  </x:si>
  <x:si>
    <x:t xml:space="preserve">L/G 비</x:t>
  </x:si>
  <x:si>
    <x:t xml:space="preserve">단위 없음.</x:t>
  </x:si>
  <x:si>
    <x:r>
      <x:t xml:space="preserve">가스 </x:t>
    </x:r>
    <x:r>
      <x:rPr>
        <x:sz val="10"/>
        <x:color rgb="FF1F2937"/>
        <x:rFont val="맑은 고딕"/>
        <x:family val="3"/>
      </x:rPr>
      <x:t xml:space="preserve">입구온도</x:t>
    </x:r>
  </x:si>
  <x:si>
    <x:t xml:space="preserve">℃</x:t>
  </x:si>
  <x:si>
    <x:t xml:space="preserve">계절</x:t>
  </x:si>
  <x:si>
    <x:r>
      <x:t xml:space="preserve">가스 </x:t>
    </x:r>
    <x:r>
      <x:rPr>
        <x:sz val="10"/>
        <x:color rgb="FF1F2937"/>
        <x:rFont val="맑은 고딕"/>
        <x:family val="3"/>
      </x:rPr>
      <x:t xml:space="preserve">출구온도</x:t>
    </x:r>
  </x:si>
  <x:si>
    <x:t xml:space="preserve">설비 차압</x:t>
  </x:si>
  <x:si>
    <x:t xml:space="preserve">bar</x:t>
  </x:si>
  <x:si>
    <x:t xml:space="preserve">설비 온도</x:t>
  </x:si>
  <x:si>
    <x:r>
      <x:rPr>
        <x:sz val="10"/>
        <x:color rgb="FF1F2937"/>
        <x:rFont val="맑은 고딕"/>
        <x:family val="3"/>
      </x:rPr>
      <x:t xml:space="preserve">오일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유량</x:t>
    </x:r>
  </x:si>
  <x:si>
    <x:t xml:space="preserve">총괄열전달계수</x:t>
  </x:si>
  <x:si>
    <x:t xml:space="preserve">W/(m²·K)</x:t>
  </x:si>
  <x:si>
    <x:t xml:space="preserve">변수별 자동 통계 요약</x:t>
  </x:si>
  <x:si>
    <x:t xml:space="preserve">Raw_Data 시트의 1행 변수명과 2~1001행 데이터를 자동 참조합니다. 실제 수치는 이 시트에만 두고, 최종 템플릿에는 범주형 결과만 옮기면 됩니다.</x:t>
  </x:si>
  <x:si>
    <x:t xml:space="preserve">왜도</x:t>
  </x:si>
  <x:si>
    <x:t xml:space="preserve">분포형태</x:t>
  </x:si>
  <x:si>
    <x:t xml:space="preserve">분포비대칭</x:t>
  </x:si>
  <x:si>
    <x:t xml:space="preserve">변동계수(CV)</x:t>
  </x:si>
  <x:si>
    <x:t xml:space="preserve">변동성</x:t>
  </x:si>
  <x:si>
    <x:t xml:space="preserve">평균 절대 일변화율</x:t>
  </x:si>
  <x:si>
    <x:t xml:space="preserve">값 변화속도</x:t>
  </x:si>
  <x:si>
    <x:t xml:space="preserve">판단불가</x:t>
  </x:si>
  <x:si>
    <x:t xml:space="preserve">변수 관계 자동 분석</x:t>
  </x:si>
  <x:si>
    <x:t xml:space="preserve">B열과 C열에 변수명을 선택하면 상관계수·방향·강도가 자동 계산됩니다. 상관계수는 인과관계를 의미하지 않으며, 영향 방향은 현업 판단으로 확인하세요.</x:t>
  </x:si>
  <x:si>
    <x:t xml:space="preserve">관계_ID</x:t>
  </x:si>
  <x:si>
    <x:t xml:space="preserve">영향 주는 변수</x:t>
  </x:si>
  <x:si>
    <x:t xml:space="preserve">영향받는 변수</x:t>
  </x:si>
  <x:si>
    <x:t xml:space="preserve">상관계수</x:t>
  </x:si>
  <x:si>
    <x:t xml:space="preserve">관계 방향</x:t>
  </x:si>
  <x:si>
    <x:t xml:space="preserve">관계 강도</x:t>
  </x:si>
  <x:si>
    <x:t xml:space="preserve">판단근거</x:t>
  </x:si>
  <x:si>
    <x:t xml:space="preserve">신뢰도</x:t>
  </x:si>
  <x:si>
    <x:t xml:space="preserve">REL_001</x:t>
  </x:si>
  <x:si>
    <x:t xml:space="preserve">일 단위 분석+현업 판단</x:t>
  </x:si>
  <x:si>
    <x:t xml:space="preserve">높음</x:t>
  </x:si>
  <x:si>
    <x:t xml:space="preserve">생산량 관련</x:t>
  </x:si>
  <x:si>
    <x:t xml:space="preserve">REL_002</x:t>
  </x:si>
  <x:si>
    <x:t xml:space="preserve">REL_003</x:t>
  </x:si>
  <x:si>
    <x:t xml:space="preserve">REL_004</x:t>
  </x:si>
  <x:si>
    <x:t xml:space="preserve">REL_005</x:t>
  </x:si>
  <x:si>
    <x:t xml:space="preserve">음</x:t>
  </x:si>
  <x:si>
    <x:t xml:space="preserve">REL_006</x:t>
  </x:si>
  <x:si>
    <x:t xml:space="preserve">REL_007</x:t>
  </x:si>
  <x:si>
    <x:t xml:space="preserve">REL_008</x:t>
  </x:si>
  <x:si>
    <x:t xml:space="preserve">REL_009</x:t>
  </x:si>
  <x:si>
    <x:t xml:space="preserve">REL_010</x:t>
  </x:si>
  <x:si>
    <x:t xml:space="preserve">REL_011</x:t>
  </x:si>
  <x:si>
    <x:t xml:space="preserve">REL_012</x:t>
  </x:si>
  <x:si>
    <x:t xml:space="preserve">REL_013</x:t>
  </x:si>
  <x:si>
    <x:t xml:space="preserve">REL_014</x:t>
  </x:si>
  <x:si>
    <x:t xml:space="preserve">REL_015</x:t>
  </x:si>
  <x:si>
    <x:t xml:space="preserve">현업 판단</x:t>
  </x:si>
  <x:si>
    <x:t xml:space="preserve">품질 함량 관련</x:t>
  </x:si>
  <x:si>
    <x:t xml:space="preserve">REL_016</x:t>
  </x:si>
  <x:si>
    <x:t xml:space="preserve">중간</x:t>
  </x:si>
  <x:si>
    <x:t xml:space="preserve">REL_017</x:t>
  </x:si>
  <x:si>
    <x:t xml:space="preserve">REL_018</x:t>
  </x:si>
  <x:si>
    <x:t xml:space="preserve">낮음</x:t>
  </x:si>
  <x:si>
    <x:t xml:space="preserve">REL_019</x:t>
  </x:si>
  <x:si>
    <x:t xml:space="preserve">REL_020</x:t>
  </x:si>
  <x:si>
    <x:t xml:space="preserve">REL_021</x:t>
  </x:si>
  <x:si>
    <x:t xml:space="preserve">약품관련</x:t>
  </x:si>
  <x:si>
    <x:t xml:space="preserve">REL_022</x:t>
  </x:si>
  <x:si>
    <x:t xml:space="preserve">양</x:t>
  </x:si>
  <x:si>
    <x:t xml:space="preserve">REL_023</x:t>
  </x:si>
  <x:si>
    <x:t xml:space="preserve">REL_024</x:t>
  </x:si>
  <x:si>
    <x:t xml:space="preserve">강함</x:t>
  </x:si>
  <x:si>
    <x:t xml:space="preserve">REL_025</x:t>
  </x:si>
  <x:si>
    <x:t xml:space="preserve">REL_026</x:t>
  </x:si>
  <x:si>
    <x:t xml:space="preserve">REL_027</x:t>
  </x:si>
  <x:si>
    <x:t xml:space="preserve">REL_028</x:t>
  </x:si>
  <x:si>
    <x:t xml:space="preserve">REL_029</x:t>
  </x:si>
  <x:si>
    <x:t xml:space="preserve">REL_030</x:t>
  </x:si>
  <x:si>
    <x:t xml:space="preserve">REL_031</x:t>
  </x:si>
  <x:si>
    <x:t xml:space="preserve">REL_032</x:t>
  </x:si>
  <x:si>
    <x:t xml:space="preserve">4. 이상 시나리오</x:t>
  </x:si>
  <x:si>
    <x:t xml:space="preserve">실제 고장 사례를 그대로 복사하지 말고, 가정한 이상 유형과 변수 변화의 순서를 작성합니다.</x:t>
  </x:si>
  <x:si>
    <x:t xml:space="preserve">시나리오_ID</x:t>
  </x:si>
  <x:si>
    <x:t xml:space="preserve">이상 유형</x:t>
  </x:si>
  <x:si>
    <x:t xml:space="preserve">발생 설비/공정(익명)</x:t>
  </x:si>
  <x:si>
    <x:t xml:space="preserve">발생 조건</x:t>
  </x:si>
  <x:si>
    <x:t xml:space="preserve">시작 변수_ID</x:t>
  </x:si>
  <x:si>
    <x:t xml:space="preserve">초기 변화</x:t>
  </x:si>
  <x:si>
    <x:t xml:space="preserve">후속 변화 순서</x:t>
  </x:si>
  <x:si>
    <x:t xml:space="preserve">지속시간</x:t>
  </x:si>
  <x:si>
    <x:t xml:space="preserve">심각도</x:t>
  </x:si>
  <x:si>
    <x:t xml:space="preserve">영향 KPI_ID</x:t>
  </x:si>
  <x:si>
    <x:t xml:space="preserve">원가 영향 방향</x:t>
  </x:si>
  <x:si>
    <x:t xml:space="preserve">권장 점검/조치</x:t>
  </x:si>
  <x:si>
    <x:t xml:space="preserve">SCN_EX01</x:t>
  </x:si>
  <x:si>
    <x:t xml:space="preserve">생산량 저하</x:t>
  </x:si>
  <x:si>
    <x:t xml:space="preserve">전체</x:t>
  </x:si>
  <x:si>
    <x:r>
      <x:rPr>
        <x:sz val="10"/>
        <x:color rgb="FF1F2937"/>
        <x:rFont val="맑은 고딕"/>
        <x:family val="3"/>
      </x:rPr>
      <x:t xml:space="preserve">시작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변수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감소</x:t>
    </x:r>
  </x:si>
  <x:si>
    <x:t xml:space="preserve">감소</x:t>
  </x:si>
  <x:si>
    <x:t xml:space="preserve">시작 변수 감소</x:t>
  </x:si>
  <x:si>
    <x:t xml:space="preserve">KPI_U04_OUT_P01,
KPI_U04_OUT_P02,
KPI_U04_UI_P01,
KPI_U04_UI_P02,
KPI_U04_QTY_G01</x:t>
  </x:si>
  <x:si>
    <x:t xml:space="preserve">생산 감소로 이익감소</x:t>
  </x:si>
  <x:si>
    <x:t xml:space="preserve">조치 사항 없음</x:t>
  </x:si>
  <x:si>
    <x:t xml:space="preserve">SCN_EX02</x:t>
  </x:si>
  <x:si>
    <x:t xml:space="preserve">SCN_EX03</x:t>
  </x:si>
  <x:si>
    <x:t xml:space="preserve">KPI_U04_STEAM_M05,
KPI_U04_STEAM_M06,</x:t>
  </x:si>
  <x:si>
    <x:r>
      <x:rPr>
        <x:sz val="10"/>
        <x:color rgb="FF1F2937"/>
        <x:rFont val="맑은 고딕"/>
        <x:family val="3"/>
      </x:rPr>
      <x:t xml:space="preserve">시작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변수</x:t>
    </x:r>
    <x:r>
      <x:rPr>
        <x:sz val="10"/>
        <x:color rgb="FF1F2937"/>
        <x:rFont val="Arial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감소</x:t>
    </x:r>
    <x:r>
      <x:rPr>
        <x:sz val="10"/>
        <x:color rgb="FF1F2937"/>
        <x:rFont val="Aptos"/>
      </x:rPr>
      <x:t xml:space="preserve"> → 생산량 감소</x:t>
    </x:r>
  </x:si>
  <x:si>
    <x:t xml:space="preserve">KPI_U04_OUT_P02,
KPI_U04_UI_P02</x:t>
  </x:si>
  <x:si>
    <x:t xml:space="preserve">시작변수 증가로 생산량 증가</x:t>
  </x:si>
  <x:si>
    <x:t xml:space="preserve">SCN_EX04</x:t>
  </x:si>
  <x:si>
    <x:t xml:space="preserve">KPI_EX01</x:t>
  </x:si>
  <x:si>
    <x:t xml:space="preserve">증가</x:t>
  </x:si>
  <x:si>
    <x:t xml:space="preserve">시작변수 증가</x:t>
  </x:si>
  <x:si>
    <x:t xml:space="preserve">SCN_EX05</x:t>
  </x:si>
  <x:si>
    <x:t xml:space="preserve">SCN_EX06</x:t>
  </x:si>
  <x:si>
    <x:r>
      <x:rPr>
        <x:sz val="10"/>
        <x:color rgb="FF1F2937"/>
        <x:rFont val="맑은 고딕"/>
        <x:family val="3"/>
      </x:rPr>
      <x:t xml:space="preserve">시작</x:t>
    </x:r>
    <x:r>
      <x:rPr>
        <x:sz val="10"/>
        <x:color rgb="FF1F2937"/>
        <x:rFont val="Aptos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변수</x:t>
    </x:r>
    <x:r>
      <x:rPr>
        <x:sz val="10"/>
        <x:color rgb="FF1F2937"/>
        <x:rFont val="Aptos"/>
        <x:family val="2"/>
      </x:rPr>
      <x:t xml:space="preserve"> </x:t>
    </x:r>
    <x:r>
      <x:rPr>
        <x:sz val="10"/>
        <x:color rgb="FF1F2937"/>
        <x:rFont val="맑은 고딕"/>
        <x:family val="3"/>
      </x:rPr>
      <x:t xml:space="preserve">증가</x:t>
    </x:r>
  </x:si>
  <x:si>
    <x:r>
      <x:t xml:space="preserve">VAR_U04_DP_P04 </x:t>
    </x:r>
    <x:r>
      <x:rPr>
        <x:sz val="10"/>
        <x:color rgb="FF1F2937"/>
        <x:rFont val="맑은 고딕"/>
        <x:family val="3"/>
      </x:rPr>
      <x:t xml:space="preserve">확인</x:t>
    </x:r>
    <x:r>
      <x:rPr>
        <x:sz val="10"/>
        <x:color rgb="FF1F2937"/>
        <x:rFont val="Arial"/>
        <x:family val="2"/>
      </x:rPr>
      <x:t xml:space="preserve">,</x:t>
    </x:r>
    <x:r>
      <x:rPr>
        <x:sz val="10"/>
        <x:color rgb="FF1F2937"/>
        <x:rFont val="Aptos"/>
      </x:rPr>
      <x:t xml:space="preserve">
PR01 </x:t>
    </x:r>
    <x:r>
      <x:rPr>
        <x:sz val="10"/>
        <x:color rgb="FF1F2937"/>
        <x:rFont val="맑은 고딕"/>
        <x:family val="3"/>
      </x:rPr>
      <x:t xml:space="preserve">공정</x:t>
    </x:r>
    <x:r>
      <x:rPr>
        <x:sz val="10"/>
        <x:color rgb="FF1F2937"/>
        <x:rFont val="Arial"/>
        <x:family val="2"/>
      </x:rPr>
      <x:t xml:space="preserve"> 관련</x:t>
    </x:r>
    <x:r>
      <x:rPr>
        <x:sz val="10"/>
        <x:color rgb="FF1F2937"/>
        <x:rFont val="Aptos"/>
        <x:family val="2"/>
      </x:rPr>
      <x:t xml:space="preserve"> 값 </x:t>
    </x:r>
    <x:r>
      <x:rPr>
        <x:sz val="10"/>
        <x:color rgb="FF1F2937"/>
        <x:rFont val="맑은 고딕"/>
        <x:family val="3"/>
      </x:rPr>
      <x:t xml:space="preserve">확인</x:t>
    </x:r>
  </x:si>
  <x:si>
    <x:t xml:space="preserve">SCN_EX07</x:t>
  </x:si>
  <x:si>
    <x:t xml:space="preserve">KPI_U04_STEAM_M01,
KPI_U04_STEAM_M02,
KPI_U04_STEAM_M03,
KPI_U04_STEAM_M04</x:t>
  </x:si>
  <x:si>
    <x:t xml:space="preserve">시작변수 증가 시켜야하나 최적화 방안 고려</x:t>
  </x:si>
</x:sst>
</file>

<file path=xl/styles.xml><?xml version="1.0" encoding="utf-8"?>
<x:styleSheet xmlns:x="http://schemas.openxmlformats.org/spreadsheetml/2006/main">
  <x:numFmts count="2">
    <x:numFmt numFmtId="176" formatCode="0.000"/>
    <x:numFmt numFmtId="177" formatCode="0.0%"/>
  </x:numFmts>
  <x:fonts count="27">
    <x:font>
      <x:sz val="11"/>
      <x:name val="Carlito"/>
    </x:font>
    <x:font>
      <x:sz val="11"/>
      <x:color theme="1"/>
      <x:name val="맑은 고딕"/>
    </x:font>
    <x:font>
      <x:b/>
      <x:sz val="16"/>
      <x:color rgb="FFFFFFFF"/>
      <x:name val="Aptos"/>
    </x:font>
    <x:font>
      <x:sz val="11"/>
      <x:name val="Aptos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sz val="11"/>
      <x:name val="Carlito"/>
    </x:font>
    <x:font>
      <x:sz val="8"/>
      <x:name val="돋움"/>
    </x:font>
    <x:font>
      <x:sz val="10"/>
      <x:color rgb="FF1F2937"/>
      <x:name val="맑은 고딕"/>
    </x:font>
    <x:font>
      <x:sz val="10"/>
      <x:color rgb="FF1F2937"/>
      <x:name val="Arial"/>
    </x:font>
    <x:font>
      <x:sz val="10"/>
      <x:color rgb="FF1F2937"/>
      <x:name val="돋움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FFFFFF"/>
      <x:name val="Aptos"/>
    </x:font>
    <x:font>
      <x:sz val="11"/>
      <x:color theme="1"/>
      <x:name val="Calibri"/>
    </x:font>
    <x:font>
      <x:b/>
      <x:sz val="14"/>
      <x:color rgb="FFFFFFFF"/>
      <x:name val="맑은 고딕"/>
    </x:font>
    <x:font>
      <x:i/>
      <x:sz val="11"/>
      <x:color rgb="FF666666"/>
      <x:name val="맑은 고딕"/>
    </x:font>
    <x:font>
      <x:b/>
      <x:sz val="11"/>
      <x:color rgb="FFFFFFFF"/>
      <x:name val="맑은 고딕"/>
    </x:font>
    <x:font>
      <x:sz val="11"/>
      <x:color rgb="FF008000"/>
      <x:name val="맑은 고딕"/>
    </x:font>
    <x:font>
      <x:sz val="11"/>
      <x:color rgb="FF000000"/>
      <x:name val="맑은 고딕"/>
    </x:font>
    <x:font>
      <x:sz val="11"/>
      <x:color rgb="FF0000FF"/>
      <x:name val="맑은 고딕"/>
    </x:font>
    <x:font>
      <x:sz val="11"/>
      <x:color rgb="FF666666"/>
      <x:name val="맑은 고딕"/>
    </x:font>
    <x:font>
      <x:sz val="10"/>
      <x:color rgb="FF1F2937"/>
      <x:name val="Aptos"/>
    </x:font>
    <x:font>
      <x:sz val="10"/>
      <x:color rgb="FF1F2937"/>
      <x:name val="돋움"/>
    </x:font>
    <x:font>
      <x:sz val="10"/>
      <x:color rgb="FF1F2937"/>
      <x:name val="Aptos"/>
    </x:font>
    <x:font>
      <x:sz val="11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6FC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theme="3" tint="0.89999"/>
      </x:patternFill>
    </x:fill>
  </x:fills>
  <x:borders count="8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  <x:border>
      <x:bottom style="medium">
        <x:color rgb="FF1F4E78"/>
      </x:bottom>
    </x:border>
    <x:border>
      <x:bottom style="hair">
        <x:color rgb="FFDDDDDD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3">
    <x:xf numFmtId="0" fontId="0" fillId="0" borderId="0"/>
    <x:xf numFmtId="0" fontId="7" fillId="0" borderId="0"/>
    <x:xf numFmtId="0" fontId="15" fillId="0" borderId="0"/>
  </x:cellStyleXfs>
  <x:cellXfs count="37">
    <x:xf numFmtId="0" fontId="0" fillId="0" borderId="0" xfId="0"/>
    <x:xf numFmtId="0" fontId="3" fillId="0" borderId="0" xfId="1" applyFont="1"/>
    <x:xf numFmtId="0" fontId="5" fillId="2" borderId="1" xfId="1" applyFont="1" applyFill="1" applyBorder="1" applyAlignment="1">
      <x:alignment horizontal="center" vertical="center" wrapText="1"/>
    </x:xf>
    <x:xf numFmtId="0" fontId="6" fillId="5" borderId="2" xfId="1" applyFont="1" applyFill="1" applyBorder="1" applyAlignment="1">
      <x:alignment vertical="center" wrapText="1"/>
    </x:xf>
    <x:xf numFmtId="0" fontId="6" fillId="5" borderId="3" xfId="1" applyFont="1" applyFill="1" applyBorder="1" applyAlignment="1">
      <x:alignment vertical="center" wrapText="1"/>
    </x:xf>
    <x:xf numFmtId="0" fontId="6" fillId="5" borderId="4" xfId="1" applyFont="1" applyFill="1" applyBorder="1" applyAlignment="1">
      <x:alignment vertical="center" wrapText="1"/>
    </x:xf>
    <x:xf numFmtId="0" fontId="0" fillId="0" borderId="0" xfId="0"/>
    <x:xf numFmtId="0" fontId="3" fillId="0" borderId="0" xfId="1" applyFont="1"/>
    <x:xf numFmtId="0" fontId="12" fillId="5" borderId="3" xfId="1" applyFont="1" applyFill="1" applyBorder="1" applyAlignment="1">
      <x:alignment vertical="center" wrapText="1"/>
    </x:xf>
    <x:xf numFmtId="0" fontId="13" fillId="2" borderId="1" xfId="1" applyFont="1" applyFill="1" applyBorder="1" applyAlignment="1">
      <x:alignment horizontal="center" vertical="center" wrapText="1"/>
    </x:xf>
    <x:xf numFmtId="0" fontId="9" fillId="5" borderId="3" xfId="1" applyFont="1" applyFill="1" applyBorder="1" applyAlignment="1">
      <x:alignment vertical="center" wrapText="1"/>
    </x:xf>
    <x:xf numFmtId="0" fontId="15" fillId="0" borderId="0" xfId="2"/>
    <x:xf numFmtId="0" fontId="18" fillId="6" borderId="5" xfId="2" applyFont="1" applyFill="1" applyBorder="1" applyAlignment="1">
      <x:alignment horizontal="center" vertical="center" wrapText="1"/>
    </x:xf>
    <x:xf numFmtId="0" fontId="19" fillId="0" borderId="6" xfId="2" applyFont="1" applyBorder="1"/>
    <x:xf numFmtId="0" fontId="20" fillId="0" borderId="6" xfId="2" applyFont="1" applyBorder="1" applyAlignment="1">
      <x:alignment horizontal="center" vertical="center"/>
    </x:xf>
    <x:xf numFmtId="176" fontId="20" fillId="0" borderId="6" xfId="2" applyNumberFormat="1" applyFont="1" applyBorder="1" applyAlignment="1">
      <x:alignment horizontal="center" vertical="center"/>
    </x:xf>
    <x:xf numFmtId="177" fontId="20" fillId="0" borderId="6" xfId="2" applyNumberFormat="1" applyFont="1" applyBorder="1" applyAlignment="1">
      <x:alignment horizontal="center" vertical="center"/>
    </x:xf>
    <x:xf numFmtId="0" fontId="21" fillId="0" borderId="0" xfId="2" applyFont="1"/>
    <x:xf numFmtId="0" fontId="22" fillId="0" borderId="6" xfId="2" applyFont="1" applyBorder="1" applyAlignment="1">
      <x:alignment horizontal="center" vertical="center" wrapText="1"/>
    </x:xf>
    <x:xf numFmtId="0" fontId="21" fillId="0" borderId="0" xfId="2" applyFont="1" applyAlignment="1">
      <x:alignment horizontal="center" vertical="center" wrapText="1"/>
    </x:xf>
    <x:xf numFmtId="176" fontId="15" fillId="0" borderId="6" xfId="2" applyNumberFormat="1" applyBorder="1" applyAlignment="1">
      <x:alignment horizontal="center" vertical="center" wrapText="1"/>
    </x:xf>
    <x:xf numFmtId="0" fontId="15" fillId="0" borderId="6" xfId="2" applyBorder="1" applyAlignment="1">
      <x:alignment horizontal="center" vertical="center" wrapText="1"/>
    </x:xf>
    <x:xf numFmtId="0" fontId="21" fillId="0" borderId="0" xfId="2" applyFont="1" applyAlignment="1">
      <x:alignment horizontal="left" vertical="center" wrapText="1"/>
    </x:xf>
    <x:xf numFmtId="0" fontId="1" fillId="0" borderId="6" xfId="2" applyFont="1" applyBorder="1" applyAlignment="1">
      <x:alignment horizontal="center" vertical="center" wrapText="1"/>
    </x:xf>
    <x:xf numFmtId="176" fontId="1" fillId="0" borderId="6" xfId="2" applyNumberFormat="1" applyFont="1" applyBorder="1" applyAlignment="1">
      <x:alignment horizontal="center" vertical="center" wrapText="1"/>
    </x:xf>
    <x:xf numFmtId="0" fontId="0" fillId="0" borderId="0" xfId="0"/>
    <x:xf numFmtId="0" fontId="23" fillId="5" borderId="3" xfId="1" applyFont="1" applyFill="1" applyBorder="1" applyAlignment="1">
      <x:alignment vertical="center" wrapText="1"/>
    </x:xf>
    <x:xf numFmtId="0" fontId="12" fillId="5" borderId="4" xfId="1" applyFont="1" applyFill="1" applyBorder="1" applyAlignment="1">
      <x:alignment vertical="center" wrapText="1"/>
    </x:xf>
    <x:xf numFmtId="0" fontId="26" fillId="7" borderId="7" xfId="0" applyFont="1" applyFill="1" applyBorder="1" applyAlignment="1">
      <x:alignment horizontal="center"/>
    </x:xf>
    <x:xf numFmtId="0" fontId="26" fillId="0" borderId="7" xfId="0" applyFont="1" applyFill="1" applyBorder="1" applyAlignment="1">
      <x:alignment horizontal="center"/>
    </x:xf>
    <x:xf numFmtId="0" fontId="2" fillId="2" borderId="0" xfId="1" applyFont="1" applyFill="1" applyAlignment="1">
      <x:alignment horizontal="left" vertical="center"/>
    </x:xf>
    <x:xf numFmtId="0" fontId="3" fillId="0" borderId="0" xfId="1" applyFont="1"/>
    <x:xf numFmtId="0" fontId="0" fillId="0" borderId="0" xfId="0"/>
    <x:xf numFmtId="0" fontId="4" fillId="3" borderId="0" xfId="1" applyFont="1" applyFill="1" applyAlignment="1">
      <x:alignment vertical="center" wrapText="1"/>
    </x:xf>
    <x:xf numFmtId="0" fontId="16" fillId="6" borderId="0" xfId="2" applyFont="1" applyFill="1" applyAlignment="1">
      <x:alignment horizontal="left" vertical="center"/>
    </x:xf>
    <x:xf numFmtId="0" fontId="15" fillId="0" borderId="0" xfId="2"/>
    <x:xf numFmtId="0" fontId="17" fillId="4" borderId="0" xfId="2" applyFont="1" applyFill="1" applyAlignment="1">
      <x:alignment wrapText="1"/>
    </x:xf>
  </x:cellXfs>
  <x:cellStyles count="3">
    <x:cellStyle name="Normal" xfId="1"/>
    <x:cellStyle name="표준" xfId="0"/>
    <x:cellStyle name="표준 2" xfId="2"/>
  </x:cellStyles>
  <x:dxfs count="43">
    <x:dxf>
      <x:fill>
        <x:patternFill>
          <x:bgColor rgb="FFF4CCCC"/>
        </x:patternFill>
      </x:fill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/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/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/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/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 style="thin">
          <x:color rgb="FFB7C9D6"/>
        </x:left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  <x:border>
        <x:left/>
        <x:right style="thin">
          <x:color rgb="FFB7C9D6"/>
        </x:right>
        <x:top/>
        <x:bottom/>
      </x:border>
    </x:dxf>
    <x:dxf>
      <x:font>
        <x:u val="none"/>
        <x:sz val="10"/>
        <x:color rgb="FF1F2937"/>
        <x:name val="Aptos"/>
        <x:scheme val="none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5a9c26f4440e0" /><Relationship Type="http://schemas.openxmlformats.org/officeDocument/2006/relationships/theme" Target="/xl/theme/theme1.xml" Id="R9eca10c9f1a64f50" /><Relationship Type="http://schemas.openxmlformats.org/officeDocument/2006/relationships/sharedStrings" Target="/xl/sharedStrings.xml" Id="Rf273e19244cc4f04" /><Relationship Type="http://schemas.openxmlformats.org/officeDocument/2006/relationships/worksheet" Target="/xl/worksheets/sheet1.xml" Id="Re2f3d521795841a2" /><Relationship Type="http://schemas.openxmlformats.org/officeDocument/2006/relationships/worksheet" Target="/xl/worksheets/sheet2.xml" Id="Rb2e654eb3588457f" /><Relationship Type="http://schemas.openxmlformats.org/officeDocument/2006/relationships/worksheet" Target="/xl/worksheets/sheet3.xml" Id="R7638ba7af24c46a0" /><Relationship Type="http://schemas.openxmlformats.org/officeDocument/2006/relationships/worksheet" Target="/xl/worksheets/sheet4.xml" Id="R85924064573b4658" /><Relationship Type="http://schemas.openxmlformats.org/officeDocument/2006/relationships/worksheet" Target="/xl/worksheets/sheet5.xml" Id="R1fbd4de71bda4205" /><Relationship Type="http://schemas.openxmlformats.org/officeDocument/2006/relationships/worksheet" Target="/xl/worksheets/sheet6.xml" Id="R5475153ae1cc4389" /><Relationship Type="http://schemas.microsoft.com/office/2017/10/relationships/person" Target="/xl/persons/person.xml" Id="Ra8a1f1b1a1a84ee2" /></Relationships>
</file>

<file path=xl/persons/person.xml><?xml version="1.0" encoding="utf-8"?>
<xltc:personList xmlns:xltc="http://schemas.microsoft.com/office/spreadsheetml/2018/threadedcomments">
  <xltc:person displayName="OpenAI" id="{4823AB60-4280-5506-FCDE-59B6ECEE7AE5}"/>
  <xltc:person displayName="OpenAI" id="{D6C14162-1361-4E80-DD8F-EA664BE6F2E1}"/>
</xltc:personList>
</file>

<file path=xl/tables/table1.xml><?xml version="1.0" encoding="utf-8"?>
<x:table xmlns:x="http://schemas.openxmlformats.org/spreadsheetml/2006/main" id="1" name="KpiTable" displayName="KpiTable" ref="A4:L12" totalsRowShown="0" dataDxfId="42">
  <x:autoFilter ref="A4:L12"/>
  <x:tableColumns count="12">
    <x:tableColumn id="1" name="KPI_ID" dataDxfId="41"/>
    <x:tableColumn id="2" name="KPI명" dataDxfId="40"/>
    <x:tableColumn id="3" name="KPI 설명" dataDxfId="39"/>
    <x:tableColumn id="4" name="관리 방향" dataDxfId="38"/>
    <x:tableColumn id="5" name="관리 주기" dataDxfId="37"/>
    <x:tableColumn id="6" name="단위" dataDxfId="36"/>
    <x:tableColumn id="7" name="정상 기준/범위" dataDxfId="35"/>
    <x:tableColumn id="8" name="경고 기준" dataDxfId="34"/>
    <x:tableColumn id="9" name="이상 기준" dataDxfId="33"/>
    <x:tableColumn id="10" name="계산식" dataDxfId="32"/>
    <x:tableColumn id="11" name="원가 연결 여부" dataDxfId="31"/>
    <x:tableColumn id="12" name="비고" dataDxfId="3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bleTable" displayName="VariableTable" ref="A4:O26" totalsRowShown="0" dataDxfId="29">
  <x:autoFilter ref="A4:O26"/>
  <x:tableColumns count="15">
    <x:tableColumn id="1" name="변수_ID" dataDxfId="28"/>
    <x:tableColumn id="2" name="변수명" dataDxfId="27"/>
    <x:tableColumn id="6" name="단위" dataDxfId="26"/>
    <x:tableColumn id="7" name="데이터 주기" dataDxfId="25"/>
    <x:tableColumn id="8" name="데이터 형태" dataDxfId="24"/>
    <x:tableColumn id="13" name="계절/주기" dataDxfId="23"/>
    <x:tableColumn id="14" name="정상 상태 설명" dataDxfId="22"/>
    <x:tableColumn id="15" name="정상 범위(선택)" dataDxfId="21"/>
    <x:tableColumn id="16" name="경고 범위(선택)" dataDxfId="20"/>
    <x:tableColumn id="17" name="이상 범위(선택)" dataDxfId="19"/>
    <x:tableColumn id="18" name="결측/센서 이상 형태" dataDxfId="18"/>
    <x:tableColumn id="23" name="KPI로도 사용 여부" dataDxfId="17"/>
    <x:tableColumn id="19" name="계산식" dataDxfId="16"/>
    <x:tableColumn id="20" name="필수 여부" dataDxfId="15"/>
    <x:tableColumn id="21" name="보안 메모" dataDxfId="14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cenarioTable" displayName="ScenarioTable" ref="A4:L11" totalsRowShown="0" dataDxfId="13">
  <x:autoFilter ref="A4:L11"/>
  <x:tableColumns count="12">
    <x:tableColumn id="1" name="시나리오_ID" dataDxfId="12"/>
    <x:tableColumn id="2" name="이상 유형" dataDxfId="11"/>
    <x:tableColumn id="3" name="발생 설비/공정(익명)" dataDxfId="10"/>
    <x:tableColumn id="4" name="발생 조건" dataDxfId="9"/>
    <x:tableColumn id="5" name="시작 변수_ID" dataDxfId="8"/>
    <x:tableColumn id="6" name="초기 변화" dataDxfId="7"/>
    <x:tableColumn id="7" name="후속 변화 순서" dataDxfId="6"/>
    <x:tableColumn id="8" name="지속시간" dataDxfId="5"/>
    <x:tableColumn id="9" name="심각도" dataDxfId="4"/>
    <x:tableColumn id="10" name="영향 KPI_ID" dataDxfId="3"/>
    <x:tableColumn id="11" name="원가 영향 방향" dataDxfId="2"/>
    <x:tableColumn id="12" name="권장 점검/조치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9caeaf68c545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26102063274d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1269f263b4284cbe" /><Relationship Type="http://schemas.openxmlformats.org/officeDocument/2006/relationships/vmlDrawing" Target="/xl/drawings/vmldrawing.vml" Id="R7832468530f14c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7eb69134f33e499d" /><Relationship Type="http://schemas.openxmlformats.org/officeDocument/2006/relationships/vmlDrawing" Target="/xl/drawings/vmldrawing2.vml" Id="Rcee11dd1f5b644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41112cf7bc041cb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2" width="8.796875" style="25" customWidth="0"/>
    <x:col min="3" max="3" width="23.69921875" style="25" customWidth="1"/>
    <x:col min="4" max="4" width="8.796875" style="25" customWidth="0"/>
    <x:col min="5" max="5" width="28.8984375" style="25" customWidth="1"/>
    <x:col min="8" max="16384" width="8.796875" style="25" customWidth="0"/>
  </x:cols>
  <x:sheetData>
    <x:row r="3" ht="17.399999618530273">
      <x:c r="B3" s="28" t="s">
        <x:v>0</x:v>
      </x:c>
      <x:c r="C3" s="28" t="s">
        <x:v>1</x:v>
      </x:c>
      <x:c r="D3" s="28" t="s">
        <x:v>2</x:v>
      </x:c>
      <x:c r="E3" s="28" t="s">
        <x:v>3</x:v>
      </x:c>
    </x:row>
    <x:row r="4" ht="17.399999618530273">
      <x:c r="B4" s="29">
        <x:v>1</x:v>
      </x:c>
      <x:c r="C4" s="29" t="s">
        <x:v>4</x:v>
      </x:c>
      <x:c r="D4" s="29" t="s">
        <x:v>5</x:v>
      </x:c>
      <x:c r="E4" s="29"/>
    </x:row>
    <x:row r="5" ht="17.399999618530273">
      <x:c r="B5" s="29">
        <x:v>2</x:v>
      </x:c>
      <x:c r="C5" s="29" t="s">
        <x:v>6</x:v>
      </x:c>
      <x:c r="D5" s="29" t="s">
        <x:v>5</x:v>
      </x:c>
      <x:c r="E5" s="29"/>
    </x:row>
    <x:row r="6" ht="17.399999618530273">
      <x:c r="B6" s="29">
        <x:v>3</x:v>
      </x:c>
      <x:c r="C6" s="29" t="s">
        <x:v>7</x:v>
      </x:c>
      <x:c r="D6" s="29" t="s">
        <x:v>5</x:v>
      </x:c>
      <x:c r="E6" s="29"/>
    </x:row>
    <x:row r="7" ht="17.399999618530273">
      <x:c r="B7" s="29">
        <x:v>4</x:v>
      </x:c>
      <x:c r="C7" s="29" t="s">
        <x:v>8</x:v>
      </x:c>
      <x:c r="D7" s="29" t="s">
        <x:v>5</x:v>
      </x:c>
      <x:c r="E7" s="29"/>
    </x:row>
    <x:row r="8" ht="17.399999618530273">
      <x:c r="B8" s="29">
        <x:v>5</x:v>
      </x:c>
      <x:c r="C8" s="29" t="s">
        <x:v>9</x:v>
      </x:c>
      <x:c r="D8" s="29" t="s">
        <x:v>5</x:v>
      </x:c>
      <x:c r="E8" s="29"/>
    </x:row>
    <x:row r="9" ht="17.399999618530273">
      <x:c r="B9" s="29">
        <x:v>6</x:v>
      </x:c>
      <x:c r="C9" s="29" t="s">
        <x:v>10</x:v>
      </x:c>
      <x:c r="D9" s="29" t="s">
        <x:v>5</x:v>
      </x:c>
      <x:c r="E9" s="29"/>
    </x:row>
    <x:row r="10" ht="17.399999618530273">
      <x:c r="B10" s="29">
        <x:v>7</x:v>
      </x:c>
      <x:c r="C10" s="29" t="s">
        <x:v>11</x:v>
      </x:c>
      <x:c r="D10" s="29" t="s">
        <x:v>5</x:v>
      </x:c>
      <x:c r="E10" s="29"/>
      <x:c r="F10" s="25"/>
      <x:c r="G10" s="25"/>
    </x:row>
    <x:row r="11" ht="17.399999618530273">
      <x:c r="B11" s="29">
        <x:v>8</x:v>
      </x:c>
      <x:c r="C11" s="29" t="s">
        <x:v>12</x:v>
      </x:c>
      <x:c r="D11" s="29" t="s">
        <x:v>13</x:v>
      </x:c>
      <x:c r="E11" s="29" t="s">
        <x:v>14</x:v>
      </x:c>
    </x:row>
    <x:row r="12" ht="17.399999618530273">
      <x:c r="B12" s="29">
        <x:v>9</x:v>
      </x:c>
      <x:c r="C12" s="29" t="s">
        <x:v>15</x:v>
      </x:c>
      <x:c r="D12" s="29" t="s">
        <x:v>13</x:v>
      </x:c>
      <x:c r="E12" s="29" t="str">
        <x:f>+E32</x:f>
        <x:v>PR05-01 ; PR05-02 ; PR05-03</x:v>
      </x:c>
    </x:row>
    <x:row r="13" ht="17.399999618530273">
      <x:c r="B13" s="29">
        <x:v>10</x:v>
      </x:c>
      <x:c r="C13" s="29" t="s">
        <x:v>16</x:v>
      </x:c>
      <x:c r="D13" s="29" t="s">
        <x:v>13</x:v>
      </x:c>
      <x:c r="E13" s="29"/>
    </x:row>
    <x:row r="14" ht="17.399999618530273">
      <x:c r="B14" s="29">
        <x:v>11</x:v>
      </x:c>
      <x:c r="C14" s="29" t="s">
        <x:v>17</x:v>
      </x:c>
      <x:c r="D14" s="29" t="s">
        <x:v>13</x:v>
      </x:c>
      <x:c r="E14" s="29"/>
    </x:row>
    <x:row r="15" ht="17.399999618530273">
      <x:c r="B15" s="29">
        <x:v>12</x:v>
      </x:c>
      <x:c r="C15" s="29" t="s">
        <x:v>18</x:v>
      </x:c>
      <x:c r="D15" s="29" t="s">
        <x:v>5</x:v>
      </x:c>
      <x:c r="E15" s="29"/>
    </x:row>
    <x:row r="16" ht="17.399999618530273">
      <x:c r="B16" s="29">
        <x:v>13</x:v>
      </x:c>
      <x:c r="C16" s="29" t="s">
        <x:v>19</x:v>
      </x:c>
      <x:c r="D16" s="29" t="s">
        <x:v>13</x:v>
      </x:c>
      <x:c r="E16" s="29" t="s">
        <x:v>20</x:v>
      </x:c>
    </x:row>
    <x:row r="17" ht="17.399999618530273">
      <x:c r="B17" s="29">
        <x:v>14</x:v>
      </x:c>
      <x:c r="C17" s="29" t="s">
        <x:v>21</x:v>
      </x:c>
      <x:c r="D17" s="29" t="s">
        <x:v>13</x:v>
      </x:c>
      <x:c r="E17" s="29" t="s">
        <x:v>22</x:v>
      </x:c>
    </x:row>
    <x:row r="18" ht="17.399999618530273">
      <x:c r="B18" s="29">
        <x:v>15</x:v>
      </x:c>
      <x:c r="C18" s="29" t="s">
        <x:v>23</x:v>
      </x:c>
      <x:c r="D18" s="29" t="s">
        <x:v>13</x:v>
      </x:c>
      <x:c r="E18" s="29" t="s">
        <x:v>24</x:v>
      </x:c>
    </x:row>
    <x:row r="19" ht="17.399999618530273">
      <x:c r="B19" s="29">
        <x:v>16</x:v>
      </x:c>
      <x:c r="C19" s="29" t="s">
        <x:v>25</x:v>
      </x:c>
      <x:c r="D19" s="29" t="s">
        <x:v>13</x:v>
      </x:c>
      <x:c r="E19" s="29" t="s">
        <x:v>26</x:v>
      </x:c>
    </x:row>
    <x:row r="20" ht="17.399999618530273">
      <x:c r="B20" s="29">
        <x:v>17</x:v>
      </x:c>
      <x:c r="C20" s="29" t="s">
        <x:v>27</x:v>
      </x:c>
      <x:c r="D20" s="29" t="s">
        <x:v>13</x:v>
      </x:c>
      <x:c r="E20" s="29" t="s">
        <x:v>28</x:v>
      </x:c>
    </x:row>
    <x:row r="21" ht="17.399999618530273">
      <x:c r="B21" s="29">
        <x:v>18</x:v>
      </x:c>
      <x:c r="C21" s="29" t="s">
        <x:v>29</x:v>
      </x:c>
      <x:c r="D21" s="29" t="s">
        <x:v>13</x:v>
      </x:c>
      <x:c r="E21" s="29" t="s">
        <x:v>30</x:v>
      </x:c>
    </x:row>
    <x:row r="22" ht="17.399999618530273">
      <x:c r="B22" s="29">
        <x:v>19</x:v>
      </x:c>
      <x:c r="C22" s="29" t="s">
        <x:v>31</x:v>
      </x:c>
      <x:c r="D22" s="29" t="s">
        <x:v>32</x:v>
      </x:c>
      <x:c r="E22" s="29"/>
    </x:row>
    <x:row r="23" ht="17.399999618530273">
      <x:c r="B23" s="29">
        <x:v>20</x:v>
      </x:c>
      <x:c r="C23" s="29" t="s">
        <x:v>33</x:v>
      </x:c>
      <x:c r="D23" s="29" t="s">
        <x:v>32</x:v>
      </x:c>
      <x:c r="E23" s="29"/>
    </x:row>
    <x:row r="24" ht="17.399999618530273">
      <x:c r="B24" s="29">
        <x:v>21</x:v>
      </x:c>
      <x:c r="C24" s="29" t="s">
        <x:v>34</x:v>
      </x:c>
      <x:c r="D24" s="29" t="s">
        <x:v>32</x:v>
      </x:c>
      <x:c r="E24" s="29"/>
    </x:row>
    <x:row r="25" ht="17.399999618530273">
      <x:c r="B25" s="29">
        <x:v>22</x:v>
      </x:c>
      <x:c r="C25" s="29" t="s">
        <x:v>35</x:v>
      </x:c>
      <x:c r="D25" s="29" t="s">
        <x:v>32</x:v>
      </x:c>
      <x:c r="E25" s="29" t="s">
        <x:v>36</x:v>
      </x:c>
    </x:row>
    <x:row r="26" ht="17.399999618530273">
      <x:c r="B26" s="29">
        <x:v>23</x:v>
      </x:c>
      <x:c r="C26" s="29" t="s">
        <x:v>37</x:v>
      </x:c>
      <x:c r="D26" s="29" t="s">
        <x:v>32</x:v>
      </x:c>
      <x:c r="E26" s="29" t="s">
        <x:v>36</x:v>
      </x:c>
    </x:row>
    <x:row r="27" ht="17.399999618530273">
      <x:c r="B27" s="29">
        <x:v>24</x:v>
      </x:c>
      <x:c r="C27" s="29" t="s">
        <x:v>38</x:v>
      </x:c>
      <x:c r="D27" s="29" t="s">
        <x:v>32</x:v>
      </x:c>
      <x:c r="E27" s="29" t="s">
        <x:v>36</x:v>
      </x:c>
    </x:row>
    <x:row r="28" ht="17.399999618530273">
      <x:c r="B28" s="29">
        <x:v>25</x:v>
      </x:c>
      <x:c r="C28" s="29" t="s">
        <x:v>39</x:v>
      </x:c>
      <x:c r="D28" s="29" t="s">
        <x:v>32</x:v>
      </x:c>
      <x:c r="E28" s="29" t="s">
        <x:v>40</x:v>
      </x:c>
    </x:row>
    <x:row r="29" ht="17.399999618530273">
      <x:c r="B29" s="29">
        <x:v>26</x:v>
      </x:c>
      <x:c r="C29" s="29" t="s">
        <x:v>41</x:v>
      </x:c>
      <x:c r="D29" s="29" t="s">
        <x:v>32</x:v>
      </x:c>
      <x:c r="E29" s="29" t="s">
        <x:v>40</x:v>
      </x:c>
    </x:row>
    <x:row r="30" ht="17.399999618530273">
      <x:c r="B30" s="29">
        <x:v>27</x:v>
      </x:c>
      <x:c r="C30" s="29" t="s">
        <x:v>42</x:v>
      </x:c>
      <x:c r="D30" s="29" t="s">
        <x:v>32</x:v>
      </x:c>
      <x:c r="E30" s="29" t="s">
        <x:v>40</x:v>
      </x:c>
    </x:row>
    <x:row r="31" ht="17.399999618530273">
      <x:c r="B31" s="29">
        <x:v>28</x:v>
      </x:c>
      <x:c r="C31" s="29" t="s">
        <x:v>43</x:v>
      </x:c>
      <x:c r="D31" s="29" t="s">
        <x:v>32</x:v>
      </x:c>
      <x:c r="E31" s="29" t="str">
        <x:f>+E20</x:f>
        <x:v>PR05-01</x:v>
      </x:c>
    </x:row>
    <x:row r="32" ht="17.399999618530273">
      <x:c r="B32" s="29">
        <x:v>29</x:v>
      </x:c>
      <x:c r="C32" s="29" t="s">
        <x:v>44</x:v>
      </x:c>
      <x:c r="D32" s="29" t="s">
        <x:v>32</x:v>
      </x:c>
      <x:c r="E32" s="29" t="s">
        <x:v>45</x:v>
      </x:c>
    </x:row>
    <x:row r="33" ht="17.399999618530273">
      <x:c r="B33" s="29">
        <x:v>30</x:v>
      </x:c>
      <x:c r="C33" s="29" t="s">
        <x:v>46</x:v>
      </x:c>
      <x:c r="D33" s="29" t="s">
        <x:v>32</x:v>
      </x:c>
      <x:c r="E33" s="29" t="s">
        <x:v>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RowHeight="13.800000190734863"/>
  <x:cols>
    <x:col min="1" max="1" width="20.5" customWidth="1"/>
    <x:col min="2" max="2" width="18" customWidth="1"/>
    <x:col min="3" max="3" width="28" customWidth="1"/>
    <x:col min="4" max="4" width="16" customWidth="1"/>
    <x:col min="5" max="6" width="12" customWidth="1"/>
    <x:col min="7" max="9" width="22" customWidth="1"/>
    <x:col min="10" max="10" width="35" customWidth="1"/>
    <x:col min="11" max="11" width="16" customWidth="1"/>
    <x:col min="12" max="12" width="40.8984375" customWidth="1"/>
  </x:cols>
  <x:sheetData>
    <x:row r="1" ht="28.049999237060547" customHeight="1">
      <x:c r="A1" s="30" t="s">
        <x:v>48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 ht="31.950000762939453" customHeight="1">
      <x:c r="A2" s="33" t="s">
        <x:v>49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4.04999923706055" customHeight="1">
      <x:c r="A4" s="2" t="s">
        <x:v>50</x:v>
      </x:c>
      <x:c r="B4" s="2" t="s">
        <x:v>51</x:v>
      </x:c>
      <x:c r="C4" s="2" t="s">
        <x:v>52</x:v>
      </x:c>
      <x:c r="D4" s="2" t="s">
        <x:v>53</x:v>
      </x:c>
      <x:c r="E4" s="2" t="s">
        <x:v>54</x:v>
      </x:c>
      <x:c r="F4" s="2" t="s">
        <x:v>55</x:v>
      </x:c>
      <x:c r="G4" s="2" t="s">
        <x:v>56</x:v>
      </x:c>
      <x:c r="H4" s="2" t="s">
        <x:v>57</x:v>
      </x:c>
      <x:c r="I4" s="2" t="s">
        <x:v>58</x:v>
      </x:c>
      <x:c r="J4" s="2" t="s">
        <x:v>59</x:v>
      </x:c>
      <x:c r="K4" s="2" t="s">
        <x:v>60</x:v>
      </x:c>
      <x:c r="L4" s="2" t="s">
        <x:v>61</x:v>
      </x:c>
    </x:row>
    <x:row r="5" s="6" customFormat="1" ht="31.950000762939453" customHeight="1">
      <x:c r="A5" s="3" t="s">
        <x:v>4</x:v>
      </x:c>
      <x:c r="B5" s="10" t="s">
        <x:v>62</x:v>
      </x:c>
      <x:c r="C5" s="10" t="s">
        <x:v>62</x:v>
      </x:c>
      <x:c r="D5" s="4" t="s">
        <x:v>63</x:v>
      </x:c>
      <x:c r="E5" s="4" t="s">
        <x:v>64</x:v>
      </x:c>
      <x:c r="F5" s="4" t="s">
        <x:v>65</x:v>
      </x:c>
      <x:c r="G5" s="26" t="s">
        <x:v>66</x:v>
      </x:c>
      <x:c r="H5" s="8" t="s">
        <x:v>67</x:v>
      </x:c>
      <x:c r="I5" s="26" t="s">
        <x:v>68</x:v>
      </x:c>
      <x:c r="J5" s="4" t="s">
        <x:v>69</x:v>
      </x:c>
      <x:c r="K5" s="4" t="s">
        <x:v>70</x:v>
      </x:c>
      <x:c r="L5" s="27" t="s">
        <x:v>71</x:v>
      </x:c>
    </x:row>
    <x:row r="6" s="6" customFormat="1" ht="31.950000762939453" customHeight="1">
      <x:c r="A6" s="3" t="s">
        <x:v>6</x:v>
      </x:c>
      <x:c r="B6" s="4" t="s">
        <x:v>72</x:v>
      </x:c>
      <x:c r="C6" s="4" t="s">
        <x:v>72</x:v>
      </x:c>
      <x:c r="D6" s="4" t="s">
        <x:v>73</x:v>
      </x:c>
      <x:c r="E6" s="4" t="s">
        <x:v>64</x:v>
      </x:c>
      <x:c r="F6" s="4" t="s">
        <x:v>74</x:v>
      </x:c>
      <x:c r="G6" s="4" t="s">
        <x:v>75</x:v>
      </x:c>
      <x:c r="H6" s="4" t="s">
        <x:v>75</x:v>
      </x:c>
      <x:c r="I6" s="4" t="s">
        <x:v>75</x:v>
      </x:c>
      <x:c r="J6" s="4" t="s">
        <x:v>69</x:v>
      </x:c>
      <x:c r="K6" s="4" t="s">
        <x:v>70</x:v>
      </x:c>
      <x:c r="L6" s="5"/>
    </x:row>
    <x:row r="7" s="6" customFormat="1" ht="31.950000762939453" customHeight="1">
      <x:c r="A7" s="3" t="s">
        <x:v>7</x:v>
      </x:c>
      <x:c r="B7" s="4" t="s">
        <x:v>76</x:v>
      </x:c>
      <x:c r="C7" s="4" t="s">
        <x:v>76</x:v>
      </x:c>
      <x:c r="D7" s="4" t="s">
        <x:v>73</x:v>
      </x:c>
      <x:c r="E7" s="4" t="s">
        <x:v>64</x:v>
      </x:c>
      <x:c r="F7" s="4" t="s">
        <x:v>74</x:v>
      </x:c>
      <x:c r="G7" s="4" t="s">
        <x:v>75</x:v>
      </x:c>
      <x:c r="H7" s="4" t="s">
        <x:v>75</x:v>
      </x:c>
      <x:c r="I7" s="4" t="s">
        <x:v>75</x:v>
      </x:c>
      <x:c r="J7" s="4" t="s">
        <x:v>69</x:v>
      </x:c>
      <x:c r="K7" s="4" t="s">
        <x:v>70</x:v>
      </x:c>
      <x:c r="L7" s="5"/>
    </x:row>
    <x:row r="8" s="6" customFormat="1" ht="31.950000762939453" customHeight="1">
      <x:c r="A8" s="3" t="s">
        <x:v>8</x:v>
      </x:c>
      <x:c r="B8" s="4" t="s">
        <x:v>77</x:v>
      </x:c>
      <x:c r="C8" s="4" t="s">
        <x:v>77</x:v>
      </x:c>
      <x:c r="D8" s="4" t="s">
        <x:v>73</x:v>
      </x:c>
      <x:c r="E8" s="4" t="s">
        <x:v>64</x:v>
      </x:c>
      <x:c r="F8" s="4" t="s">
        <x:v>74</x:v>
      </x:c>
      <x:c r="G8" s="4" t="s">
        <x:v>75</x:v>
      </x:c>
      <x:c r="H8" s="4" t="s">
        <x:v>75</x:v>
      </x:c>
      <x:c r="I8" s="4" t="s">
        <x:v>75</x:v>
      </x:c>
      <x:c r="J8" s="4" t="s">
        <x:v>69</x:v>
      </x:c>
      <x:c r="K8" s="4" t="s">
        <x:v>70</x:v>
      </x:c>
      <x:c r="L8" s="5"/>
    </x:row>
    <x:row r="9" s="6" customFormat="1" ht="31.950000762939453" customHeight="1">
      <x:c r="A9" s="3" t="s">
        <x:v>9</x:v>
      </x:c>
      <x:c r="B9" s="4" t="s">
        <x:v>78</x:v>
      </x:c>
      <x:c r="C9" s="4" t="s">
        <x:v>78</x:v>
      </x:c>
      <x:c r="D9" s="4" t="s">
        <x:v>73</x:v>
      </x:c>
      <x:c r="E9" s="4" t="s">
        <x:v>64</x:v>
      </x:c>
      <x:c r="F9" s="4" t="s">
        <x:v>79</x:v>
      </x:c>
      <x:c r="G9" s="4" t="s">
        <x:v>80</x:v>
      </x:c>
      <x:c r="H9" s="8" t="s">
        <x:v>81</x:v>
      </x:c>
      <x:c r="I9" s="8" t="s">
        <x:v>82</x:v>
      </x:c>
      <x:c r="J9" s="4" t="s">
        <x:v>83</x:v>
      </x:c>
      <x:c r="K9" s="4" t="s">
        <x:v>70</x:v>
      </x:c>
      <x:c r="L9" s="5"/>
    </x:row>
    <x:row r="10" s="6" customFormat="1" ht="31.950000762939453" customHeight="1">
      <x:c r="A10" s="3" t="s">
        <x:v>10</x:v>
      </x:c>
      <x:c r="B10" s="4" t="s">
        <x:v>84</x:v>
      </x:c>
      <x:c r="C10" s="4" t="s">
        <x:v>84</x:v>
      </x:c>
      <x:c r="D10" s="4" t="s">
        <x:v>73</x:v>
      </x:c>
      <x:c r="E10" s="4" t="s">
        <x:v>64</x:v>
      </x:c>
      <x:c r="F10" s="4" t="s">
        <x:v>79</x:v>
      </x:c>
      <x:c r="G10" s="4" t="s">
        <x:v>80</x:v>
      </x:c>
      <x:c r="H10" s="8" t="s">
        <x:v>81</x:v>
      </x:c>
      <x:c r="I10" s="8" t="s">
        <x:v>82</x:v>
      </x:c>
      <x:c r="J10" s="4" t="s">
        <x:v>85</x:v>
      </x:c>
      <x:c r="K10" s="4" t="s">
        <x:v>70</x:v>
      </x:c>
      <x:c r="L10" s="5"/>
    </x:row>
    <x:row r="11" s="6" customFormat="1" ht="31.950000762939453" customHeight="1">
      <x:c r="A11" s="3" t="s">
        <x:v>11</x:v>
      </x:c>
      <x:c r="B11" s="4" t="s">
        <x:v>86</x:v>
      </x:c>
      <x:c r="C11" s="4" t="s">
        <x:v>86</x:v>
      </x:c>
      <x:c r="D11" s="4" t="s">
        <x:v>73</x:v>
      </x:c>
      <x:c r="E11" s="4" t="s">
        <x:v>64</x:v>
      </x:c>
      <x:c r="F11" s="4" t="s">
        <x:v>79</x:v>
      </x:c>
      <x:c r="G11" s="4" t="s">
        <x:v>80</x:v>
      </x:c>
      <x:c r="H11" s="8" t="s">
        <x:v>81</x:v>
      </x:c>
      <x:c r="I11" s="8" t="s">
        <x:v>82</x:v>
      </x:c>
      <x:c r="J11" s="4" t="s">
        <x:v>87</x:v>
      </x:c>
      <x:c r="K11" s="4" t="s">
        <x:v>70</x:v>
      </x:c>
      <x:c r="L11" s="5"/>
    </x:row>
    <x:row r="12" s="6" customFormat="1" ht="31.950000762939453" customHeight="1">
      <x:c r="A12" s="3" t="s">
        <x:v>18</x:v>
      </x:c>
      <x:c r="B12" s="4" t="str">
        <x:v>품질함량 함량</x:v>
      </x:c>
      <x:c r="C12" s="4" t="str">
        <x:v>품질함량 함량</x:v>
      </x:c>
      <x:c r="D12" s="4" t="s">
        <x:v>88</x:v>
      </x:c>
      <x:c r="E12" s="4" t="s">
        <x:v>64</x:v>
      </x:c>
      <x:c r="F12" s="4" t="s">
        <x:v>89</x:v>
      </x:c>
      <x:c r="G12" s="8" t="s">
        <x:v>90</x:v>
      </x:c>
      <x:c r="H12" s="8" t="s">
        <x:v>91</x:v>
      </x:c>
      <x:c r="I12" s="4" t="s">
        <x:v>92</x:v>
      </x:c>
      <x:c r="J12" s="4" t="s">
        <x:v>69</x:v>
      </x:c>
      <x:c r="K12" s="4" t="s">
        <x:v>93</x:v>
      </x:c>
      <x:c r="L12" s="27" t="s">
        <x:v>94</x:v>
      </x:c>
    </x:row>
  </x:sheetData>
  <x:mergeCells>
    <x:mergeCell ref="A1:Z1"/>
    <x:mergeCell ref="A2:Z2"/>
  </x:mergeCells>
  <x:dataValidations count="2">
    <x:dataValidation type="list" sqref="D5:D198">
      <x:formula1>"높을수록 좋음,낮을수록 좋음,목표범위 유지,변동 최소화"</x:formula1>
    </x:dataValidation>
    <x:dataValidation type="list" sqref="K5:K198">
      <x:formula1>"예,아니오,미정"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9caeaf68c545f0"/>
  </x:tableParts>
</x:worksheet>
</file>

<file path=xl/worksheets/sheet3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RowHeight="13.800000190734863"/>
  <x:cols>
    <x:col min="1" max="1" width="23.3984375" customWidth="1"/>
    <x:col min="2" max="2" width="18" customWidth="1"/>
    <x:col min="3" max="3" width="16.5" customWidth="1"/>
    <x:col min="4" max="4" width="12" customWidth="1"/>
    <x:col min="5" max="5" width="14" customWidth="1"/>
    <x:col min="6" max="6" width="18" customWidth="1"/>
    <x:col min="7" max="7" width="22" customWidth="1"/>
    <x:col min="8" max="10" width="18" customWidth="1"/>
    <x:col min="11" max="11" width="22" customWidth="1"/>
    <x:col min="12" max="12" width="22" style="6" customWidth="1"/>
    <x:col min="13" max="13" width="63.09765625" customWidth="1"/>
    <x:col min="14" max="14" width="12" customWidth="1"/>
    <x:col min="15" max="15" width="24" customWidth="1"/>
  </x:cols>
  <x:sheetData>
    <x:row r="1" ht="28.049999237060547" customHeight="1">
      <x:c r="A1" s="30" t="s">
        <x:v>95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2"/>
      <x:c r="Q1" s="32"/>
      <x:c r="R1" s="32"/>
      <x:c r="S1" s="32"/>
      <x:c r="T1" s="32"/>
    </x:row>
    <x:row r="2" ht="31.950000762939453" customHeight="1">
      <x:c r="A2" s="33" t="s">
        <x:v>96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2"/>
      <x:c r="Q2" s="32"/>
      <x:c r="R2" s="32"/>
      <x:c r="S2" s="32"/>
      <x:c r="T2" s="32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7"/>
      <x:c r="M3" s="1"/>
      <x:c r="N3" s="1"/>
      <x:c r="O3" s="1"/>
    </x:row>
    <x:row r="4" ht="34.04999923706055" customHeight="1">
      <x:c r="A4" s="2" t="s">
        <x:v>97</x:v>
      </x:c>
      <x:c r="B4" s="2" t="s">
        <x:v>1</x:v>
      </x:c>
      <x:c r="C4" s="2" t="s">
        <x:v>55</x:v>
      </x:c>
      <x:c r="D4" s="2" t="s">
        <x:v>98</x:v>
      </x:c>
      <x:c r="E4" s="2" t="s">
        <x:v>99</x:v>
      </x:c>
      <x:c r="F4" s="2" t="s">
        <x:v>100</x:v>
      </x:c>
      <x:c r="G4" s="2" t="s">
        <x:v>101</x:v>
      </x:c>
      <x:c r="H4" s="2" t="s">
        <x:v>102</x:v>
      </x:c>
      <x:c r="I4" s="2" t="s">
        <x:v>103</x:v>
      </x:c>
      <x:c r="J4" s="2" t="s">
        <x:v>104</x:v>
      </x:c>
      <x:c r="K4" s="2" t="s">
        <x:v>105</x:v>
      </x:c>
      <x:c r="L4" s="9" t="s">
        <x:v>106</x:v>
      </x:c>
      <x:c r="M4" s="2" t="s">
        <x:v>59</x:v>
      </x:c>
      <x:c r="N4" s="2" t="s">
        <x:v>107</x:v>
      </x:c>
      <x:c r="O4" s="2" t="s">
        <x:v>108</x:v>
      </x:c>
    </x:row>
    <x:row r="5" ht="31.799999237060547" customHeight="1">
      <x:c r="A5" s="3" t="s">
        <x:v>12</x:v>
      </x:c>
      <x:c r="B5" s="4" t="s">
        <x:v>109</x:v>
      </x:c>
      <x:c r="C5" s="4" t="s">
        <x:v>74</x:v>
      </x:c>
      <x:c r="D5" s="4" t="s">
        <x:v>110</x:v>
      </x:c>
      <x:c r="E5" s="4" t="s">
        <x:v>111</x:v>
      </x:c>
      <x:c r="F5" s="4" t="s">
        <x:v>112</x:v>
      </x:c>
      <x:c r="G5" s="4" t="s">
        <x:v>113</x:v>
      </x:c>
      <x:c r="H5" s="4" t="s">
        <x:v>114</x:v>
      </x:c>
      <x:c r="I5" s="4" t="s">
        <x:v>114</x:v>
      </x:c>
      <x:c r="J5" s="4" t="s">
        <x:v>115</x:v>
      </x:c>
      <x:c r="K5" s="4"/>
      <x:c r="L5" s="4" t="s">
        <x:v>70</x:v>
      </x:c>
      <x:c r="M5" s="4" t="s">
        <x:v>69</x:v>
      </x:c>
      <x:c r="N5" s="4" t="s">
        <x:v>116</x:v>
      </x:c>
      <x:c r="O5" s="5"/>
    </x:row>
    <x:row r="6" ht="31.799999237060547" customHeight="1">
      <x:c r="A6" s="3" t="s">
        <x:v>15</x:v>
      </x:c>
      <x:c r="B6" s="4" t="s">
        <x:v>117</x:v>
      </x:c>
      <x:c r="C6" s="4" t="s">
        <x:v>74</x:v>
      </x:c>
      <x:c r="D6" s="4" t="s">
        <x:v>110</x:v>
      </x:c>
      <x:c r="E6" s="4" t="s">
        <x:v>111</x:v>
      </x:c>
      <x:c r="F6" s="4" t="s">
        <x:v>112</x:v>
      </x:c>
      <x:c r="G6" s="4" t="s">
        <x:v>113</x:v>
      </x:c>
      <x:c r="H6" s="4" t="s">
        <x:v>114</x:v>
      </x:c>
      <x:c r="I6" s="4" t="s">
        <x:v>114</x:v>
      </x:c>
      <x:c r="J6" s="4" t="s">
        <x:v>115</x:v>
      </x:c>
      <x:c r="K6" s="4"/>
      <x:c r="L6" s="4" t="s">
        <x:v>70</x:v>
      </x:c>
      <x:c r="M6" s="4" t="s">
        <x:v>69</x:v>
      </x:c>
      <x:c r="N6" s="4" t="s">
        <x:v>116</x:v>
      </x:c>
      <x:c r="O6" s="5"/>
    </x:row>
    <x:row r="7" ht="31.799999237060547" customHeight="1">
      <x:c r="A7" s="3" t="s">
        <x:v>16</x:v>
      </x:c>
      <x:c r="B7" s="4" t="s">
        <x:v>118</x:v>
      </x:c>
      <x:c r="C7" s="4" t="s">
        <x:v>119</x:v>
      </x:c>
      <x:c r="D7" s="4" t="s">
        <x:v>110</x:v>
      </x:c>
      <x:c r="E7" s="4" t="s">
        <x:v>111</x:v>
      </x:c>
      <x:c r="F7" s="4" t="s">
        <x:v>112</x:v>
      </x:c>
      <x:c r="G7" s="4" t="s">
        <x:v>113</x:v>
      </x:c>
      <x:c r="H7" s="4" t="s">
        <x:v>114</x:v>
      </x:c>
      <x:c r="I7" s="4" t="s">
        <x:v>114</x:v>
      </x:c>
      <x:c r="J7" s="4" t="s">
        <x:v>115</x:v>
      </x:c>
      <x:c r="K7" s="4"/>
      <x:c r="L7" s="4" t="s">
        <x:v>70</x:v>
      </x:c>
      <x:c r="M7" s="4" t="s">
        <x:v>120</x:v>
      </x:c>
      <x:c r="N7" s="4" t="s">
        <x:v>116</x:v>
      </x:c>
      <x:c r="O7" s="5"/>
    </x:row>
    <x:row r="8" ht="31.799999237060547" customHeight="1">
      <x:c r="A8" s="3" t="s">
        <x:v>17</x:v>
      </x:c>
      <x:c r="B8" s="4" t="s">
        <x:v>121</x:v>
      </x:c>
      <x:c r="C8" s="4" t="s">
        <x:v>119</x:v>
      </x:c>
      <x:c r="D8" s="4" t="s">
        <x:v>110</x:v>
      </x:c>
      <x:c r="E8" s="4" t="s">
        <x:v>111</x:v>
      </x:c>
      <x:c r="F8" s="4" t="s">
        <x:v>112</x:v>
      </x:c>
      <x:c r="G8" s="4" t="s">
        <x:v>113</x:v>
      </x:c>
      <x:c r="H8" s="4" t="s">
        <x:v>114</x:v>
      </x:c>
      <x:c r="I8" s="4" t="s">
        <x:v>114</x:v>
      </x:c>
      <x:c r="J8" s="4" t="s">
        <x:v>115</x:v>
      </x:c>
      <x:c r="K8" s="4"/>
      <x:c r="L8" s="4" t="s">
        <x:v>70</x:v>
      </x:c>
      <x:c r="M8" s="4" t="s">
        <x:v>122</x:v>
      </x:c>
      <x:c r="N8" s="4" t="s">
        <x:v>116</x:v>
      </x:c>
      <x:c r="O8" s="5"/>
    </x:row>
    <x:row r="9" ht="31.799999237060547" customHeight="1">
      <x:c r="A9" s="3" t="s">
        <x:v>19</x:v>
      </x:c>
      <x:c r="B9" s="4" t="s">
        <x:v>123</x:v>
      </x:c>
      <x:c r="C9" s="4" t="s">
        <x:v>124</x:v>
      </x:c>
      <x:c r="D9" s="4" t="s">
        <x:v>125</x:v>
      </x:c>
      <x:c r="E9" s="4" t="s">
        <x:v>111</x:v>
      </x:c>
      <x:c r="F9" s="4" t="s">
        <x:v>112</x:v>
      </x:c>
      <x:c r="G9" s="4" t="s">
        <x:v>113</x:v>
      </x:c>
      <x:c r="H9" s="4" t="s">
        <x:v>114</x:v>
      </x:c>
      <x:c r="I9" s="4" t="s">
        <x:v>114</x:v>
      </x:c>
      <x:c r="J9" s="4" t="s">
        <x:v>115</x:v>
      </x:c>
      <x:c r="K9" s="4" t="s">
        <x:v>126</x:v>
      </x:c>
      <x:c r="L9" s="4" t="s">
        <x:v>70</x:v>
      </x:c>
      <x:c r="M9" s="4" t="s">
        <x:v>69</x:v>
      </x:c>
      <x:c r="N9" s="4" t="s">
        <x:v>116</x:v>
      </x:c>
      <x:c r="O9" s="5"/>
    </x:row>
    <x:row r="10" ht="31.799999237060547" customHeight="1">
      <x:c r="A10" s="3" t="s">
        <x:v>21</x:v>
      </x:c>
      <x:c r="B10" s="4" t="s">
        <x:v>127</x:v>
      </x:c>
      <x:c r="C10" s="4" t="s">
        <x:v>124</x:v>
      </x:c>
      <x:c r="D10" s="4" t="s">
        <x:v>125</x:v>
      </x:c>
      <x:c r="E10" s="4" t="s">
        <x:v>111</x:v>
      </x:c>
      <x:c r="F10" s="4" t="s">
        <x:v>112</x:v>
      </x:c>
      <x:c r="G10" s="4" t="s">
        <x:v>113</x:v>
      </x:c>
      <x:c r="H10" s="4" t="s">
        <x:v>114</x:v>
      </x:c>
      <x:c r="I10" s="4" t="s">
        <x:v>114</x:v>
      </x:c>
      <x:c r="J10" s="4" t="s">
        <x:v>115</x:v>
      </x:c>
      <x:c r="K10" s="4" t="s">
        <x:v>126</x:v>
      </x:c>
      <x:c r="L10" s="4" t="s">
        <x:v>70</x:v>
      </x:c>
      <x:c r="M10" s="4" t="s">
        <x:v>69</x:v>
      </x:c>
      <x:c r="N10" s="4" t="s">
        <x:v>116</x:v>
      </x:c>
      <x:c r="O10" s="5"/>
    </x:row>
    <x:row r="11" ht="31.799999237060547" customHeight="1">
      <x:c r="A11" s="3" t="s">
        <x:v>23</x:v>
      </x:c>
      <x:c r="B11" s="4" t="s">
        <x:v>128</x:v>
      </x:c>
      <x:c r="C11" s="4" t="s">
        <x:v>124</x:v>
      </x:c>
      <x:c r="D11" s="4" t="s">
        <x:v>125</x:v>
      </x:c>
      <x:c r="E11" s="4" t="s">
        <x:v>111</x:v>
      </x:c>
      <x:c r="F11" s="4" t="s">
        <x:v>112</x:v>
      </x:c>
      <x:c r="G11" s="4" t="s">
        <x:v>113</x:v>
      </x:c>
      <x:c r="H11" s="4" t="s">
        <x:v>114</x:v>
      </x:c>
      <x:c r="I11" s="4" t="s">
        <x:v>114</x:v>
      </x:c>
      <x:c r="J11" s="4" t="s">
        <x:v>115</x:v>
      </x:c>
      <x:c r="K11" s="4" t="s">
        <x:v>126</x:v>
      </x:c>
      <x:c r="L11" s="4" t="s">
        <x:v>70</x:v>
      </x:c>
      <x:c r="M11" s="4" t="s">
        <x:v>69</x:v>
      </x:c>
      <x:c r="N11" s="4" t="s">
        <x:v>116</x:v>
      </x:c>
      <x:c r="O11" s="5"/>
    </x:row>
    <x:row r="12" ht="31.799999237060547" customHeight="1">
      <x:c r="A12" s="3" t="s">
        <x:v>25</x:v>
      </x:c>
      <x:c r="B12" s="4" t="s">
        <x:v>129</x:v>
      </x:c>
      <x:c r="C12" s="4" t="s">
        <x:v>124</x:v>
      </x:c>
      <x:c r="D12" s="4" t="s">
        <x:v>125</x:v>
      </x:c>
      <x:c r="E12" s="4" t="s">
        <x:v>111</x:v>
      </x:c>
      <x:c r="F12" s="4" t="s">
        <x:v>112</x:v>
      </x:c>
      <x:c r="G12" s="4" t="s">
        <x:v>113</x:v>
      </x:c>
      <x:c r="H12" s="4" t="s">
        <x:v>114</x:v>
      </x:c>
      <x:c r="I12" s="4" t="s">
        <x:v>114</x:v>
      </x:c>
      <x:c r="J12" s="4" t="s">
        <x:v>115</x:v>
      </x:c>
      <x:c r="K12" s="4" t="s">
        <x:v>126</x:v>
      </x:c>
      <x:c r="L12" s="4" t="s">
        <x:v>70</x:v>
      </x:c>
      <x:c r="M12" s="4" t="s">
        <x:v>69</x:v>
      </x:c>
      <x:c r="N12" s="4" t="s">
        <x:v>116</x:v>
      </x:c>
      <x:c r="O12" s="5"/>
    </x:row>
    <x:row r="13" ht="31.799999237060547" customHeight="1">
      <x:c r="A13" s="3" t="s">
        <x:v>27</x:v>
      </x:c>
      <x:c r="B13" s="4" t="s">
        <x:v>130</x:v>
      </x:c>
      <x:c r="C13" s="4" t="s">
        <x:v>124</x:v>
      </x:c>
      <x:c r="D13" s="4" t="s">
        <x:v>125</x:v>
      </x:c>
      <x:c r="E13" s="4" t="s">
        <x:v>111</x:v>
      </x:c>
      <x:c r="F13" s="4" t="s">
        <x:v>112</x:v>
      </x:c>
      <x:c r="G13" s="4" t="s">
        <x:v>113</x:v>
      </x:c>
      <x:c r="H13" s="4" t="s">
        <x:v>114</x:v>
      </x:c>
      <x:c r="I13" s="4" t="s">
        <x:v>114</x:v>
      </x:c>
      <x:c r="J13" s="4" t="s">
        <x:v>115</x:v>
      </x:c>
      <x:c r="K13" s="4" t="s">
        <x:v>126</x:v>
      </x:c>
      <x:c r="L13" s="4" t="s">
        <x:v>70</x:v>
      </x:c>
      <x:c r="M13" s="4" t="s">
        <x:v>69</x:v>
      </x:c>
      <x:c r="N13" s="4" t="s">
        <x:v>116</x:v>
      </x:c>
      <x:c r="O13" s="5"/>
    </x:row>
    <x:row r="14" ht="31.799999237060547" customHeight="1">
      <x:c r="A14" s="3" t="s">
        <x:v>29</x:v>
      </x:c>
      <x:c r="B14" s="4" t="s">
        <x:v>131</x:v>
      </x:c>
      <x:c r="C14" s="4" t="s">
        <x:v>124</x:v>
      </x:c>
      <x:c r="D14" s="4" t="s">
        <x:v>125</x:v>
      </x:c>
      <x:c r="E14" s="4" t="s">
        <x:v>111</x:v>
      </x:c>
      <x:c r="F14" s="4" t="s">
        <x:v>112</x:v>
      </x:c>
      <x:c r="G14" s="4" t="s">
        <x:v>113</x:v>
      </x:c>
      <x:c r="H14" s="4" t="s">
        <x:v>114</x:v>
      </x:c>
      <x:c r="I14" s="4" t="s">
        <x:v>114</x:v>
      </x:c>
      <x:c r="J14" s="4" t="s">
        <x:v>115</x:v>
      </x:c>
      <x:c r="K14" s="4" t="s">
        <x:v>126</x:v>
      </x:c>
      <x:c r="L14" s="4" t="s">
        <x:v>70</x:v>
      </x:c>
      <x:c r="M14" s="4" t="s">
        <x:v>69</x:v>
      </x:c>
      <x:c r="N14" s="4" t="s">
        <x:v>116</x:v>
      </x:c>
      <x:c r="O14" s="5"/>
    </x:row>
    <x:row r="15" ht="31.799999237060547" customHeight="1">
      <x:c r="A15" s="3" t="s">
        <x:v>31</x:v>
      </x:c>
      <x:c r="B15" s="4" t="s">
        <x:v>132</x:v>
      </x:c>
      <x:c r="C15" s="4" t="s">
        <x:v>133</x:v>
      </x:c>
      <x:c r="D15" s="4" t="s">
        <x:v>110</x:v>
      </x:c>
      <x:c r="E15" s="4" t="s">
        <x:v>111</x:v>
      </x:c>
      <x:c r="F15" s="4" t="s">
        <x:v>112</x:v>
      </x:c>
      <x:c r="G15" s="4" t="s">
        <x:v>113</x:v>
      </x:c>
      <x:c r="H15" s="4" t="s">
        <x:v>114</x:v>
      </x:c>
      <x:c r="I15" s="4" t="s">
        <x:v>114</x:v>
      </x:c>
      <x:c r="J15" s="4" t="s">
        <x:v>115</x:v>
      </x:c>
      <x:c r="K15" s="8" t="s">
        <x:v>134</x:v>
      </x:c>
      <x:c r="L15" s="10" t="s">
        <x:v>93</x:v>
      </x:c>
      <x:c r="M15" s="4" t="s">
        <x:v>69</x:v>
      </x:c>
      <x:c r="N15" s="4" t="s">
        <x:v>116</x:v>
      </x:c>
      <x:c r="O15" s="5"/>
    </x:row>
    <x:row r="16" ht="31.799999237060547" customHeight="1">
      <x:c r="A16" s="3" t="s">
        <x:v>33</x:v>
      </x:c>
      <x:c r="B16" s="4" t="s">
        <x:v>135</x:v>
      </x:c>
      <x:c r="C16" s="4" t="s">
        <x:v>74</x:v>
      </x:c>
      <x:c r="D16" s="4" t="s">
        <x:v>110</x:v>
      </x:c>
      <x:c r="E16" s="4" t="s">
        <x:v>111</x:v>
      </x:c>
      <x:c r="F16" s="4" t="s">
        <x:v>112</x:v>
      </x:c>
      <x:c r="G16" s="4" t="s">
        <x:v>113</x:v>
      </x:c>
      <x:c r="H16" s="4" t="s">
        <x:v>114</x:v>
      </x:c>
      <x:c r="I16" s="4" t="s">
        <x:v>114</x:v>
      </x:c>
      <x:c r="J16" s="4" t="s">
        <x:v>115</x:v>
      </x:c>
      <x:c r="K16" s="8" t="s">
        <x:v>134</x:v>
      </x:c>
      <x:c r="L16" s="10" t="s">
        <x:v>93</x:v>
      </x:c>
      <x:c r="M16" s="4" t="s">
        <x:v>69</x:v>
      </x:c>
      <x:c r="N16" s="4" t="s">
        <x:v>116</x:v>
      </x:c>
      <x:c r="O16" s="5"/>
    </x:row>
    <x:row r="17" ht="31.799999237060547" customHeight="1">
      <x:c r="A17" s="3" t="s">
        <x:v>34</x:v>
      </x:c>
      <x:c r="B17" s="10" t="s">
        <x:v>136</x:v>
      </x:c>
      <x:c r="C17" s="4" t="s">
        <x:v>133</x:v>
      </x:c>
      <x:c r="D17" s="4" t="s">
        <x:v>110</x:v>
      </x:c>
      <x:c r="E17" s="4" t="s">
        <x:v>111</x:v>
      </x:c>
      <x:c r="F17" s="4" t="s">
        <x:v>112</x:v>
      </x:c>
      <x:c r="G17" s="4" t="s">
        <x:v>113</x:v>
      </x:c>
      <x:c r="H17" s="4" t="s">
        <x:v>114</x:v>
      </x:c>
      <x:c r="I17" s="4" t="s">
        <x:v>114</x:v>
      </x:c>
      <x:c r="J17" s="4" t="s">
        <x:v>115</x:v>
      </x:c>
      <x:c r="K17" s="4"/>
      <x:c r="L17" s="10" t="s">
        <x:v>93</x:v>
      </x:c>
      <x:c r="M17" s="4" t="s">
        <x:v>69</x:v>
      </x:c>
      <x:c r="N17" s="4" t="s">
        <x:v>116</x:v>
      </x:c>
      <x:c r="O17" s="5"/>
    </x:row>
    <x:row r="18" ht="31.799999237060547" customHeight="1">
      <x:c r="A18" s="3" t="s">
        <x:v>35</x:v>
      </x:c>
      <x:c r="B18" s="10" t="s">
        <x:v>137</x:v>
      </x:c>
      <x:c r="C18" s="4" t="s">
        <x:v>138</x:v>
      </x:c>
      <x:c r="D18" s="4" t="s">
        <x:v>125</x:v>
      </x:c>
      <x:c r="E18" s="4" t="s">
        <x:v>111</x:v>
      </x:c>
      <x:c r="F18" s="4" t="s">
        <x:v>112</x:v>
      </x:c>
      <x:c r="G18" s="4" t="s">
        <x:v>113</x:v>
      </x:c>
      <x:c r="H18" s="4" t="s">
        <x:v>114</x:v>
      </x:c>
      <x:c r="I18" s="4" t="s">
        <x:v>114</x:v>
      </x:c>
      <x:c r="J18" s="4" t="s">
        <x:v>115</x:v>
      </x:c>
      <x:c r="K18" s="4"/>
      <x:c r="L18" s="10" t="s">
        <x:v>93</x:v>
      </x:c>
      <x:c r="M18" s="4" t="s">
        <x:v>139</x:v>
      </x:c>
      <x:c r="N18" s="4" t="s">
        <x:v>116</x:v>
      </x:c>
      <x:c r="O18" s="5"/>
    </x:row>
    <x:row r="19" ht="31.799999237060547" customHeight="1">
      <x:c r="A19" s="3" t="s">
        <x:v>37</x:v>
      </x:c>
      <x:c r="B19" s="10" t="s">
        <x:v>140</x:v>
      </x:c>
      <x:c r="C19" s="4" t="s">
        <x:v>141</x:v>
      </x:c>
      <x:c r="D19" s="4" t="s">
        <x:v>125</x:v>
      </x:c>
      <x:c r="E19" s="4" t="s">
        <x:v>111</x:v>
      </x:c>
      <x:c r="F19" s="4" t="s">
        <x:v>112</x:v>
      </x:c>
      <x:c r="G19" s="4" t="s">
        <x:v>113</x:v>
      </x:c>
      <x:c r="H19" s="4" t="s">
        <x:v>114</x:v>
      </x:c>
      <x:c r="I19" s="4" t="s">
        <x:v>114</x:v>
      </x:c>
      <x:c r="J19" s="4" t="s">
        <x:v>115</x:v>
      </x:c>
      <x:c r="K19" s="4"/>
      <x:c r="L19" s="10" t="s">
        <x:v>93</x:v>
      </x:c>
      <x:c r="M19" s="4" t="s">
        <x:v>69</x:v>
      </x:c>
      <x:c r="N19" s="4" t="s">
        <x:v>116</x:v>
      </x:c>
      <x:c r="O19" s="5"/>
    </x:row>
    <x:row r="20" ht="31.799999237060547" customHeight="1">
      <x:c r="A20" s="3" t="s">
        <x:v>38</x:v>
      </x:c>
      <x:c r="B20" s="4" t="s">
        <x:v>142</x:v>
      </x:c>
      <x:c r="C20" s="4" t="s">
        <x:v>143</x:v>
      </x:c>
      <x:c r="D20" s="4" t="s">
        <x:v>125</x:v>
      </x:c>
      <x:c r="E20" s="4" t="s">
        <x:v>111</x:v>
      </x:c>
      <x:c r="F20" s="4" t="s">
        <x:v>112</x:v>
      </x:c>
      <x:c r="G20" s="4" t="s">
        <x:v>113</x:v>
      </x:c>
      <x:c r="H20" s="4" t="s">
        <x:v>114</x:v>
      </x:c>
      <x:c r="I20" s="4" t="s">
        <x:v>114</x:v>
      </x:c>
      <x:c r="J20" s="4" t="s">
        <x:v>115</x:v>
      </x:c>
      <x:c r="K20" s="4"/>
      <x:c r="L20" s="10" t="s">
        <x:v>93</x:v>
      </x:c>
      <x:c r="M20" s="4" t="s">
        <x:v>69</x:v>
      </x:c>
      <x:c r="N20" s="4" t="s">
        <x:v>116</x:v>
      </x:c>
      <x:c r="O20" s="5"/>
    </x:row>
    <x:row r="21" ht="31.799999237060547" customHeight="1">
      <x:c r="A21" s="3" t="s">
        <x:v>39</x:v>
      </x:c>
      <x:c r="B21" s="4" t="s">
        <x:v>144</x:v>
      </x:c>
      <x:c r="C21" s="4" t="s">
        <x:v>145</x:v>
      </x:c>
      <x:c r="D21" s="4" t="s">
        <x:v>125</x:v>
      </x:c>
      <x:c r="E21" s="4" t="s">
        <x:v>111</x:v>
      </x:c>
      <x:c r="F21" s="4" t="s">
        <x:v>146</x:v>
      </x:c>
      <x:c r="G21" s="4" t="s">
        <x:v>113</x:v>
      </x:c>
      <x:c r="H21" s="4" t="s">
        <x:v>114</x:v>
      </x:c>
      <x:c r="I21" s="4" t="s">
        <x:v>114</x:v>
      </x:c>
      <x:c r="J21" s="4" t="s">
        <x:v>115</x:v>
      </x:c>
      <x:c r="K21" s="4"/>
      <x:c r="L21" s="10" t="s">
        <x:v>93</x:v>
      </x:c>
      <x:c r="M21" s="4" t="s">
        <x:v>69</x:v>
      </x:c>
      <x:c r="N21" s="4" t="s">
        <x:v>116</x:v>
      </x:c>
      <x:c r="O21" s="5"/>
    </x:row>
    <x:row r="22" ht="31.799999237060547" customHeight="1">
      <x:c r="A22" s="3" t="s">
        <x:v>41</x:v>
      </x:c>
      <x:c r="B22" s="4" t="s">
        <x:v>147</x:v>
      </x:c>
      <x:c r="C22" s="4" t="s">
        <x:v>145</x:v>
      </x:c>
      <x:c r="D22" s="4" t="s">
        <x:v>125</x:v>
      </x:c>
      <x:c r="E22" s="4" t="s">
        <x:v>111</x:v>
      </x:c>
      <x:c r="F22" s="4" t="s">
        <x:v>146</x:v>
      </x:c>
      <x:c r="G22" s="4" t="s">
        <x:v>113</x:v>
      </x:c>
      <x:c r="H22" s="4" t="s">
        <x:v>114</x:v>
      </x:c>
      <x:c r="I22" s="4" t="s">
        <x:v>114</x:v>
      </x:c>
      <x:c r="J22" s="4" t="s">
        <x:v>115</x:v>
      </x:c>
      <x:c r="K22" s="4"/>
      <x:c r="L22" s="10" t="s">
        <x:v>93</x:v>
      </x:c>
      <x:c r="M22" s="4" t="s">
        <x:v>69</x:v>
      </x:c>
      <x:c r="N22" s="4" t="s">
        <x:v>116</x:v>
      </x:c>
      <x:c r="O22" s="5"/>
    </x:row>
    <x:row r="23" ht="31.799999237060547" customHeight="1">
      <x:c r="A23" s="3" t="s">
        <x:v>42</x:v>
      </x:c>
      <x:c r="B23" s="10" t="s">
        <x:v>148</x:v>
      </x:c>
      <x:c r="C23" s="4" t="s">
        <x:v>149</x:v>
      </x:c>
      <x:c r="D23" s="4" t="s">
        <x:v>125</x:v>
      </x:c>
      <x:c r="E23" s="4" t="s">
        <x:v>111</x:v>
      </x:c>
      <x:c r="F23" s="4" t="s">
        <x:v>112</x:v>
      </x:c>
      <x:c r="G23" s="4" t="s">
        <x:v>113</x:v>
      </x:c>
      <x:c r="H23" s="4" t="s">
        <x:v>114</x:v>
      </x:c>
      <x:c r="I23" s="4" t="s">
        <x:v>114</x:v>
      </x:c>
      <x:c r="J23" s="4" t="s">
        <x:v>115</x:v>
      </x:c>
      <x:c r="K23" s="4"/>
      <x:c r="L23" s="10" t="s">
        <x:v>93</x:v>
      </x:c>
      <x:c r="M23" s="4" t="s">
        <x:v>69</x:v>
      </x:c>
      <x:c r="N23" s="4" t="s">
        <x:v>116</x:v>
      </x:c>
      <x:c r="O23" s="5"/>
    </x:row>
    <x:row r="24" ht="31.799999237060547" customHeight="1">
      <x:c r="A24" s="3" t="s">
        <x:v>43</x:v>
      </x:c>
      <x:c r="B24" s="10" t="s">
        <x:v>150</x:v>
      </x:c>
      <x:c r="C24" s="4" t="s">
        <x:v>145</x:v>
      </x:c>
      <x:c r="D24" s="4" t="s">
        <x:v>125</x:v>
      </x:c>
      <x:c r="E24" s="4" t="s">
        <x:v>111</x:v>
      </x:c>
      <x:c r="F24" s="4" t="s">
        <x:v>112</x:v>
      </x:c>
      <x:c r="G24" s="4" t="s">
        <x:v>113</x:v>
      </x:c>
      <x:c r="H24" s="4" t="s">
        <x:v>114</x:v>
      </x:c>
      <x:c r="I24" s="4" t="s">
        <x:v>114</x:v>
      </x:c>
      <x:c r="J24" s="4" t="s">
        <x:v>115</x:v>
      </x:c>
      <x:c r="K24" s="4"/>
      <x:c r="L24" s="10" t="s">
        <x:v>93</x:v>
      </x:c>
      <x:c r="M24" s="4" t="s">
        <x:v>69</x:v>
      </x:c>
      <x:c r="N24" s="4" t="s">
        <x:v>116</x:v>
      </x:c>
      <x:c r="O24" s="5"/>
    </x:row>
    <x:row r="25" ht="31.799999237060547" customHeight="1">
      <x:c r="A25" s="3" t="s">
        <x:v>44</x:v>
      </x:c>
      <x:c r="B25" s="8" t="s">
        <x:v>151</x:v>
      </x:c>
      <x:c r="C25" s="4" t="s">
        <x:v>141</x:v>
      </x:c>
      <x:c r="D25" s="4" t="s">
        <x:v>125</x:v>
      </x:c>
      <x:c r="E25" s="4" t="s">
        <x:v>111</x:v>
      </x:c>
      <x:c r="F25" s="4" t="s">
        <x:v>112</x:v>
      </x:c>
      <x:c r="G25" s="4" t="s">
        <x:v>113</x:v>
      </x:c>
      <x:c r="H25" s="4" t="s">
        <x:v>114</x:v>
      </x:c>
      <x:c r="I25" s="4" t="s">
        <x:v>114</x:v>
      </x:c>
      <x:c r="J25" s="4" t="s">
        <x:v>115</x:v>
      </x:c>
      <x:c r="K25" s="4"/>
      <x:c r="L25" s="10" t="s">
        <x:v>93</x:v>
      </x:c>
      <x:c r="M25" s="4" t="s">
        <x:v>69</x:v>
      </x:c>
      <x:c r="N25" s="4" t="s">
        <x:v>116</x:v>
      </x:c>
      <x:c r="O25" s="5"/>
    </x:row>
    <x:row r="26" ht="31.799999237060547" customHeight="1">
      <x:c r="A26" s="3" t="s">
        <x:v>46</x:v>
      </x:c>
      <x:c r="B26" s="10" t="s">
        <x:v>152</x:v>
      </x:c>
      <x:c r="C26" s="4" t="s">
        <x:v>153</x:v>
      </x:c>
      <x:c r="D26" s="4" t="s">
        <x:v>125</x:v>
      </x:c>
      <x:c r="E26" s="4" t="s">
        <x:v>111</x:v>
      </x:c>
      <x:c r="F26" s="4" t="s">
        <x:v>112</x:v>
      </x:c>
      <x:c r="G26" s="4" t="s">
        <x:v>113</x:v>
      </x:c>
      <x:c r="H26" s="4" t="s">
        <x:v>114</x:v>
      </x:c>
      <x:c r="I26" s="4" t="s">
        <x:v>114</x:v>
      </x:c>
      <x:c r="J26" s="4" t="s">
        <x:v>115</x:v>
      </x:c>
      <x:c r="K26" s="4"/>
      <x:c r="L26" s="10" t="s">
        <x:v>93</x:v>
      </x:c>
      <x:c r="M26" s="4" t="s">
        <x:v>69</x:v>
      </x:c>
      <x:c r="N26" s="4" t="s">
        <x:v>116</x:v>
      </x:c>
      <x:c r="O26" s="5"/>
    </x:row>
  </x:sheetData>
  <x:mergeCells>
    <x:mergeCell ref="A1:T1"/>
    <x:mergeCell ref="A2:T2"/>
  </x:mergeCells>
  <x:dataValidations count="5">
    <x:dataValidation type="list" sqref="L5:L26">
      <x:formula1>"예,아니오,미정"</x:formula1>
    </x:dataValidation>
    <x:dataValidation type="list" sqref="D5:D221">
      <x:formula1>"1분,10분,1시간,1일,이벤트,월별,모름"</x:formula1>
    </x:dataValidation>
    <x:dataValidation type="list" sqref="E5:E221">
      <x:formula1>"연속형,범주형,이벤트,텍스트"</x:formula1>
    </x:dataValidation>
    <x:dataValidation type="list" sqref="F5:F221">
      <x:formula1>"없음,일중,주간,월간,계절,모름"</x:formula1>
    </x:dataValidation>
    <x:dataValidation type="list" sqref="N5:N221">
      <x:formula1>"필수,선택,참고"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26102063274d71"/>
  </x:tableParts>
</x:worksheet>
</file>

<file path=xl/worksheets/sheet4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RowHeight="14.399999618530273"/>
  <x:cols>
    <x:col min="1" max="1" width="22" style="11" customWidth="1"/>
    <x:col min="2" max="2" width="11" style="11" customWidth="1"/>
    <x:col min="3" max="3" width="17" style="11" customWidth="1"/>
    <x:col min="4" max="4" width="18" style="11" customWidth="1"/>
    <x:col min="5" max="5" width="15" style="11" customWidth="1"/>
    <x:col min="6" max="6" width="12" style="11" customWidth="1"/>
    <x:col min="7" max="7" width="20" style="11" customWidth="1"/>
    <x:col min="8" max="8" width="14" style="11" customWidth="1"/>
    <x:col min="9" max="9" width="28" style="11" customWidth="1"/>
    <x:col min="10" max="16384" width="8.796875" style="11" customWidth="0"/>
  </x:cols>
  <x:sheetData>
    <x:row r="1" ht="28.049999237060547" customHeight="1">
      <x:c r="A1" s="34" t="s">
        <x:v>154</x:v>
      </x:c>
      <x:c r="B1" s="35"/>
      <x:c r="C1" s="35"/>
      <x:c r="D1" s="35"/>
      <x:c r="E1" s="35"/>
      <x:c r="F1" s="35"/>
      <x:c r="G1" s="35"/>
      <x:c r="H1" s="35"/>
      <x:c r="I1" s="35"/>
    </x:row>
    <x:row r="2" ht="15.600000381469727">
      <x:c r="A2" s="36" t="s">
        <x:v>155</x:v>
      </x:c>
      <x:c r="B2" s="35"/>
      <x:c r="C2" s="35"/>
      <x:c r="D2" s="35"/>
      <x:c r="E2" s="35"/>
      <x:c r="F2" s="35"/>
      <x:c r="G2" s="35"/>
      <x:c r="H2" s="35"/>
      <x:c r="I2" s="35"/>
    </x:row>
    <x:row r="4" ht="34.95000076293945" customHeight="1">
      <x:c r="A4" s="12" t="s">
        <x:v>1</x:v>
      </x:c>
      <x:c r="B4" s="12" t="s">
        <x:v>156</x:v>
      </x:c>
      <x:c r="C4" s="12" t="s">
        <x:v>157</x:v>
      </x:c>
      <x:c r="D4" s="12" t="s">
        <x:v>158</x:v>
      </x:c>
      <x:c r="E4" s="12" t="s">
        <x:v>159</x:v>
      </x:c>
      <x:c r="F4" s="12" t="s">
        <x:v>160</x:v>
      </x:c>
      <x:c r="G4" s="12" t="s">
        <x:v>161</x:v>
      </x:c>
      <x:c r="H4" s="12" t="s">
        <x:v>162</x:v>
      </x:c>
      <x:c r="I4" s="12" t="s">
        <x:v>61</x:v>
      </x:c>
    </x:row>
    <x:row r="5" ht="17.399999618530273">
      <x:c r="A5" s="13" t="s">
        <x:v>4</x:v>
      </x:c>
      <x:c r="B5" s="15">
        <x:v>-0.69499999999999995</x:v>
      </x:c>
      <x:c r="C5" s="14" t="str">
        <x:f t="shared" ref="C5:C34" si="0">IF(A5="","",IF(OR(B5="판단불가",B5=""),"판단불가",IF(ABS(B5)&lt;=0.5,"대칭형",IF(B5&gt;0,"오른쪽 치우침","왼쪽 치우침"))))</x:f>
        <x:v>왼쪽 치우침</x:v>
      </x:c>
      <x:c r="D5" s="14" t="str">
        <x:f t="shared" ref="D5:D34" si="1">IF(A5="","",IF(OR(B5="판단불가",B5=""),"판단불가",IF(ABS(B5)&lt;=0.5,"없음",IF(ABS(B5)&lt;=1,IF(B5&gt;0,"오른쪽 약함","왼쪽 약함"),IF(B5&gt;0,"오른쪽 강함","왼쪽 강함")))))</x:f>
        <x:v>왼쪽 약함</x:v>
      </x:c>
      <x:c r="E5" s="16">
        <x:v>6.9000000000000006E-2</x:v>
      </x:c>
      <x:c r="F5" s="14" t="str">
        <x:f t="shared" ref="F5:F34" si="2">IF(A5="","",IF(OR(E5="판단불가",E5=""),"판단불가",IF(E5&lt;=0.1,"낮음",IF(E5&lt;=0.2,"중간","높음"))))</x:f>
        <x:v>낮음</x:v>
      </x:c>
      <x:c r="G5" s="16">
        <x:v>0</x:v>
      </x:c>
      <x:c r="H5" s="14" t="str">
        <x:f t="shared" ref="H5:H34" si="3">IF(A5="","",IF(OR(G5="판단불가",G5=""),"판단불가",IF(G5&lt;=0.05,"완만",IF(G5&lt;=0.1,"보통","빠름"))))</x:f>
        <x:v>판단불가</x:v>
      </x:c>
      <x:c r="I5" s="17"/>
    </x:row>
    <x:row r="6" ht="17.399999618530273">
      <x:c r="A6" s="13" t="s">
        <x:v>6</x:v>
      </x:c>
      <x:c r="B6" s="15">
        <x:v>-0.89400000000000002</x:v>
      </x:c>
      <x:c r="C6" s="14" t="str">
        <x:f t="shared" si="0"/>
        <x:v>왼쪽 치우침</x:v>
      </x:c>
      <x:c r="D6" s="14" t="str">
        <x:f t="shared" si="1"/>
        <x:v>왼쪽 약함</x:v>
      </x:c>
      <x:c r="E6" s="16">
        <x:v>0.14499999999999999</x:v>
      </x:c>
      <x:c r="F6" s="14" t="str">
        <x:f t="shared" si="2"/>
        <x:v>중간</x:v>
      </x:c>
      <x:c r="G6" s="16">
        <x:v>0</x:v>
      </x:c>
      <x:c r="H6" s="14" t="str">
        <x:f t="shared" si="3"/>
        <x:v>완만</x:v>
      </x:c>
      <x:c r="I6" s="17"/>
    </x:row>
    <x:row r="7" ht="17.399999618530273">
      <x:c r="A7" s="13" t="s">
        <x:v>7</x:v>
      </x:c>
      <x:c r="B7" s="15">
        <x:v>-1.7909999999999999</x:v>
      </x:c>
      <x:c r="C7" s="14" t="str">
        <x:f t="shared" si="0"/>
        <x:v>왼쪽 치우침</x:v>
      </x:c>
      <x:c r="D7" s="14" t="str">
        <x:f t="shared" si="1"/>
        <x:v>왼쪽 강함</x:v>
      </x:c>
      <x:c r="E7" s="16">
        <x:v>0.11600000000000001</x:v>
      </x:c>
      <x:c r="F7" s="14" t="str">
        <x:f t="shared" si="2"/>
        <x:v>중간</x:v>
      </x:c>
      <x:c r="G7" s="16">
        <x:v>0</x:v>
      </x:c>
      <x:c r="H7" s="14" t="str">
        <x:f t="shared" si="3"/>
        <x:v>완만</x:v>
      </x:c>
      <x:c r="I7" s="17"/>
    </x:row>
    <x:row r="8" ht="17.399999618530273">
      <x:c r="A8" s="13" t="s">
        <x:v>8</x:v>
      </x:c>
      <x:c r="B8" s="15">
        <x:v>17.989999999999998</x:v>
      </x:c>
      <x:c r="C8" s="14" t="str">
        <x:f t="shared" si="0"/>
        <x:v>오른쪽 치우침</x:v>
      </x:c>
      <x:c r="D8" s="14" t="str">
        <x:f t="shared" si="1"/>
        <x:v>오른쪽 강함</x:v>
      </x:c>
      <x:c r="E8" s="16">
        <x:v>4.5220000000000002</x:v>
      </x:c>
      <x:c r="F8" s="14" t="str">
        <x:f t="shared" si="2"/>
        <x:v>높음</x:v>
      </x:c>
      <x:c r="G8" s="16">
        <x:v>0</x:v>
      </x:c>
      <x:c r="H8" s="14" t="str">
        <x:f t="shared" si="3"/>
        <x:v>완만</x:v>
      </x:c>
      <x:c r="I8" s="17"/>
    </x:row>
    <x:row r="9" ht="17.399999618530273">
      <x:c r="A9" s="13" t="s">
        <x:v>9</x:v>
      </x:c>
      <x:c r="B9" s="15">
        <x:v>0.17100000000000001</x:v>
      </x:c>
      <x:c r="C9" s="14" t="str">
        <x:f t="shared" si="0"/>
        <x:v>대칭형</x:v>
      </x:c>
      <x:c r="D9" s="14" t="str">
        <x:f t="shared" si="1"/>
        <x:v>없음</x:v>
      </x:c>
      <x:c r="E9" s="16">
        <x:v>0.106</x:v>
      </x:c>
      <x:c r="F9" s="14" t="str">
        <x:f t="shared" si="2"/>
        <x:v>중간</x:v>
      </x:c>
      <x:c r="G9" s="16">
        <x:v>0</x:v>
      </x:c>
      <x:c r="H9" s="14" t="str">
        <x:f t="shared" si="3"/>
        <x:v>완만</x:v>
      </x:c>
      <x:c r="I9" s="17"/>
    </x:row>
    <x:row r="10" ht="17.399999618530273">
      <x:c r="A10" s="13" t="s">
        <x:v>10</x:v>
      </x:c>
      <x:c r="B10" s="15">
        <x:v>-1.1379999999999999</x:v>
      </x:c>
      <x:c r="C10" s="14" t="str">
        <x:f t="shared" si="0"/>
        <x:v>왼쪽 치우침</x:v>
      </x:c>
      <x:c r="D10" s="14" t="str">
        <x:f t="shared" si="1"/>
        <x:v>왼쪽 강함</x:v>
      </x:c>
      <x:c r="E10" s="16">
        <x:v>8.4000000000000005E-2</x:v>
      </x:c>
      <x:c r="F10" s="14" t="str">
        <x:f t="shared" si="2"/>
        <x:v>낮음</x:v>
      </x:c>
      <x:c r="G10" s="16">
        <x:v>0</x:v>
      </x:c>
      <x:c r="H10" s="14" t="str">
        <x:f t="shared" si="3"/>
        <x:v>완만</x:v>
      </x:c>
      <x:c r="I10" s="17"/>
    </x:row>
    <x:row r="11" ht="17.399999618530273">
      <x:c r="A11" s="13" t="s">
        <x:v>11</x:v>
      </x:c>
      <x:c r="B11" s="15">
        <x:v>17.957999999999998</x:v>
      </x:c>
      <x:c r="C11" s="14" t="str">
        <x:f t="shared" si="0"/>
        <x:v>오른쪽 치우침</x:v>
      </x:c>
      <x:c r="D11" s="14" t="str">
        <x:f t="shared" si="1"/>
        <x:v>오른쪽 강함</x:v>
      </x:c>
      <x:c r="E11" s="16">
        <x:v>4.399</x:v>
      </x:c>
      <x:c r="F11" s="14" t="str">
        <x:f t="shared" si="2"/>
        <x:v>높음</x:v>
      </x:c>
      <x:c r="G11" s="16">
        <x:v>0</x:v>
      </x:c>
      <x:c r="H11" s="14" t="str">
        <x:f t="shared" si="3"/>
        <x:v>완만</x:v>
      </x:c>
      <x:c r="I11" s="17"/>
    </x:row>
    <x:row r="12" ht="17.399999618530273">
      <x:c r="A12" s="13" t="s">
        <x:v>12</x:v>
      </x:c>
      <x:c r="B12" s="15" t="s">
        <x:v>163</x:v>
      </x:c>
      <x:c r="C12" s="14" t="s">
        <x:v>163</x:v>
      </x:c>
      <x:c r="D12" s="14" t="s">
        <x:v>163</x:v>
      </x:c>
      <x:c r="E12" s="16" t="s">
        <x:v>163</x:v>
      </x:c>
      <x:c r="F12" s="14" t="s">
        <x:v>163</x:v>
      </x:c>
      <x:c r="G12" s="16" t="s">
        <x:v>163</x:v>
      </x:c>
      <x:c r="H12" s="14" t="s">
        <x:v>163</x:v>
      </x:c>
      <x:c r="I12" s="17"/>
    </x:row>
    <x:row r="13" ht="17.399999618530273">
      <x:c r="A13" s="13" t="s">
        <x:v>15</x:v>
      </x:c>
      <x:c r="B13" s="15" t="s">
        <x:v>163</x:v>
      </x:c>
      <x:c r="C13" s="14" t="s">
        <x:v>163</x:v>
      </x:c>
      <x:c r="D13" s="14" t="s">
        <x:v>163</x:v>
      </x:c>
      <x:c r="E13" s="16" t="s">
        <x:v>163</x:v>
      </x:c>
      <x:c r="F13" s="14" t="s">
        <x:v>163</x:v>
      </x:c>
      <x:c r="G13" s="16" t="s">
        <x:v>163</x:v>
      </x:c>
      <x:c r="H13" s="14" t="s">
        <x:v>163</x:v>
      </x:c>
      <x:c r="I13" s="17"/>
    </x:row>
    <x:row r="14" ht="17.399999618530273">
      <x:c r="A14" s="13" t="s">
        <x:v>16</x:v>
      </x:c>
      <x:c r="B14" s="15" t="s">
        <x:v>163</x:v>
      </x:c>
      <x:c r="C14" s="14" t="s">
        <x:v>163</x:v>
      </x:c>
      <x:c r="D14" s="14" t="s">
        <x:v>163</x:v>
      </x:c>
      <x:c r="E14" s="16" t="s">
        <x:v>163</x:v>
      </x:c>
      <x:c r="F14" s="14" t="s">
        <x:v>163</x:v>
      </x:c>
      <x:c r="G14" s="16" t="s">
        <x:v>163</x:v>
      </x:c>
      <x:c r="H14" s="14" t="s">
        <x:v>163</x:v>
      </x:c>
      <x:c r="I14" s="17"/>
    </x:row>
    <x:row r="15" ht="17.399999618530273">
      <x:c r="A15" s="13" t="s">
        <x:v>17</x:v>
      </x:c>
      <x:c r="B15" s="15" t="s">
        <x:v>163</x:v>
      </x:c>
      <x:c r="C15" s="14" t="s">
        <x:v>163</x:v>
      </x:c>
      <x:c r="D15" s="14" t="s">
        <x:v>163</x:v>
      </x:c>
      <x:c r="E15" s="16" t="s">
        <x:v>163</x:v>
      </x:c>
      <x:c r="F15" s="14" t="s">
        <x:v>163</x:v>
      </x:c>
      <x:c r="G15" s="16" t="s">
        <x:v>163</x:v>
      </x:c>
      <x:c r="H15" s="14" t="s">
        <x:v>163</x:v>
      </x:c>
      <x:c r="I15" s="17"/>
    </x:row>
    <x:row r="16" ht="17.399999618530273">
      <x:c r="A16" s="13" t="s">
        <x:v>18</x:v>
      </x:c>
      <x:c r="B16" s="15">
        <x:v>1.518</x:v>
      </x:c>
      <x:c r="C16" s="14" t="str">
        <x:f t="shared" si="0"/>
        <x:v>오른쪽 치우침</x:v>
      </x:c>
      <x:c r="D16" s="14" t="str">
        <x:f t="shared" si="1"/>
        <x:v>오른쪽 강함</x:v>
      </x:c>
      <x:c r="E16" s="16">
        <x:v>0.23100000000000001</x:v>
      </x:c>
      <x:c r="F16" s="14" t="str">
        <x:f t="shared" si="2"/>
        <x:v>높음</x:v>
      </x:c>
      <x:c r="G16" s="16">
        <x:v>0</x:v>
      </x:c>
      <x:c r="H16" s="14" t="str">
        <x:f t="shared" si="3"/>
        <x:v>완만</x:v>
      </x:c>
      <x:c r="I16" s="17"/>
    </x:row>
    <x:row r="17" ht="17.399999618530273">
      <x:c r="A17" s="13" t="s">
        <x:v>19</x:v>
      </x:c>
      <x:c r="B17" s="15">
        <x:v>0.35099999999999998</x:v>
      </x:c>
      <x:c r="C17" s="14" t="str">
        <x:f t="shared" si="0"/>
        <x:v>대칭형</x:v>
      </x:c>
      <x:c r="D17" s="14" t="str">
        <x:f t="shared" si="1"/>
        <x:v>없음</x:v>
      </x:c>
      <x:c r="E17" s="16">
        <x:v>0.46200000000000002</x:v>
      </x:c>
      <x:c r="F17" s="14" t="str">
        <x:f t="shared" si="2"/>
        <x:v>높음</x:v>
      </x:c>
      <x:c r="G17" s="16">
        <x:v>0</x:v>
      </x:c>
      <x:c r="H17" s="14" t="str">
        <x:f t="shared" si="3"/>
        <x:v>완만</x:v>
      </x:c>
      <x:c r="I17" s="17"/>
    </x:row>
    <x:row r="18" ht="17.399999618530273">
      <x:c r="A18" s="13" t="s">
        <x:v>21</x:v>
      </x:c>
      <x:c r="B18" s="15">
        <x:v>0.88800000000000001</x:v>
      </x:c>
      <x:c r="C18" s="14" t="str">
        <x:f t="shared" si="0"/>
        <x:v>오른쪽 치우침</x:v>
      </x:c>
      <x:c r="D18" s="14" t="str">
        <x:f t="shared" si="1"/>
        <x:v>오른쪽 약함</x:v>
      </x:c>
      <x:c r="E18" s="16">
        <x:v>0.68600000000000005</x:v>
      </x:c>
      <x:c r="F18" s="14" t="str">
        <x:f t="shared" si="2"/>
        <x:v>높음</x:v>
      </x:c>
      <x:c r="G18" s="16">
        <x:v>0</x:v>
      </x:c>
      <x:c r="H18" s="14" t="str">
        <x:f t="shared" si="3"/>
        <x:v>완만</x:v>
      </x:c>
      <x:c r="I18" s="17"/>
    </x:row>
    <x:row r="19" ht="17.399999618530273">
      <x:c r="A19" s="13" t="s">
        <x:v>23</x:v>
      </x:c>
      <x:c r="B19" s="15">
        <x:v>-3.5999999999999997E-2</x:v>
      </x:c>
      <x:c r="C19" s="14" t="str">
        <x:f t="shared" si="0"/>
        <x:v>대칭형</x:v>
      </x:c>
      <x:c r="D19" s="14" t="str">
        <x:f t="shared" si="1"/>
        <x:v>없음</x:v>
      </x:c>
      <x:c r="E19" s="16">
        <x:v>7.3999999999999996E-2</x:v>
      </x:c>
      <x:c r="F19" s="14" t="str">
        <x:f t="shared" si="2"/>
        <x:v>낮음</x:v>
      </x:c>
      <x:c r="G19" s="16">
        <x:v>0</x:v>
      </x:c>
      <x:c r="H19" s="14" t="str">
        <x:f t="shared" si="3"/>
        <x:v>완만</x:v>
      </x:c>
      <x:c r="I19" s="17"/>
    </x:row>
    <x:row r="20" ht="17.399999618530273">
      <x:c r="A20" s="13" t="s">
        <x:v>25</x:v>
      </x:c>
      <x:c r="B20" s="15">
        <x:v>0.312</x:v>
      </x:c>
      <x:c r="C20" s="14" t="str">
        <x:f t="shared" si="0"/>
        <x:v>대칭형</x:v>
      </x:c>
      <x:c r="D20" s="14" t="str">
        <x:f t="shared" si="1"/>
        <x:v>없음</x:v>
      </x:c>
      <x:c r="E20" s="16">
        <x:v>6.6000000000000003E-2</x:v>
      </x:c>
      <x:c r="F20" s="14" t="str">
        <x:f t="shared" si="2"/>
        <x:v>낮음</x:v>
      </x:c>
      <x:c r="G20" s="16">
        <x:v>0</x:v>
      </x:c>
      <x:c r="H20" s="14" t="str">
        <x:f t="shared" si="3"/>
        <x:v>완만</x:v>
      </x:c>
      <x:c r="I20" s="17"/>
    </x:row>
    <x:row r="21" ht="17.399999618530273">
      <x:c r="A21" s="13" t="s">
        <x:v>27</x:v>
      </x:c>
      <x:c r="B21" s="15">
        <x:v>-0.36099999999999999</x:v>
      </x:c>
      <x:c r="C21" s="14" t="str">
        <x:f t="shared" si="0"/>
        <x:v>대칭형</x:v>
      </x:c>
      <x:c r="D21" s="14" t="str">
        <x:f t="shared" si="1"/>
        <x:v>없음</x:v>
      </x:c>
      <x:c r="E21" s="16">
        <x:v>0.109</x:v>
      </x:c>
      <x:c r="F21" s="14" t="str">
        <x:f t="shared" si="2"/>
        <x:v>중간</x:v>
      </x:c>
      <x:c r="G21" s="16">
        <x:v>0</x:v>
      </x:c>
      <x:c r="H21" s="14" t="str">
        <x:f t="shared" si="3"/>
        <x:v>완만</x:v>
      </x:c>
      <x:c r="I21" s="17"/>
    </x:row>
    <x:row r="22" ht="17.399999618530273">
      <x:c r="A22" s="13" t="s">
        <x:v>29</x:v>
      </x:c>
      <x:c r="B22" s="15">
        <x:v>0.317</x:v>
      </x:c>
      <x:c r="C22" s="14" t="str">
        <x:f t="shared" si="0"/>
        <x:v>대칭형</x:v>
      </x:c>
      <x:c r="D22" s="14" t="str">
        <x:f t="shared" si="1"/>
        <x:v>없음</x:v>
      </x:c>
      <x:c r="E22" s="16">
        <x:v>7.5999999999999998E-2</x:v>
      </x:c>
      <x:c r="F22" s="14" t="str">
        <x:f t="shared" si="2"/>
        <x:v>낮음</x:v>
      </x:c>
      <x:c r="G22" s="16">
        <x:v>0</x:v>
      </x:c>
      <x:c r="H22" s="14" t="str">
        <x:f t="shared" si="3"/>
        <x:v>완만</x:v>
      </x:c>
      <x:c r="I22" s="17"/>
    </x:row>
    <x:row r="23" ht="17.399999618530273">
      <x:c r="A23" s="13" t="s">
        <x:v>31</x:v>
      </x:c>
      <x:c r="B23" s="15">
        <x:v>-2.91</x:v>
      </x:c>
      <x:c r="C23" s="14" t="str">
        <x:f t="shared" si="0"/>
        <x:v>왼쪽 치우침</x:v>
      </x:c>
      <x:c r="D23" s="14" t="str">
        <x:f t="shared" si="1"/>
        <x:v>왼쪽 강함</x:v>
      </x:c>
      <x:c r="E23" s="16">
        <x:v>0.105</x:v>
      </x:c>
      <x:c r="F23" s="14" t="str">
        <x:f t="shared" si="2"/>
        <x:v>중간</x:v>
      </x:c>
      <x:c r="G23" s="16">
        <x:v>0</x:v>
      </x:c>
      <x:c r="H23" s="14" t="str">
        <x:f t="shared" si="3"/>
        <x:v>완만</x:v>
      </x:c>
      <x:c r="I23" s="17"/>
    </x:row>
    <x:row r="24" ht="17.399999618530273">
      <x:c r="A24" s="13" t="s">
        <x:v>33</x:v>
      </x:c>
      <x:c r="B24" s="15">
        <x:v>-3.1909999999999998</x:v>
      </x:c>
      <x:c r="C24" s="14" t="str">
        <x:f t="shared" si="0"/>
        <x:v>왼쪽 치우침</x:v>
      </x:c>
      <x:c r="D24" s="14" t="str">
        <x:f t="shared" si="1"/>
        <x:v>왼쪽 강함</x:v>
      </x:c>
      <x:c r="E24" s="16">
        <x:v>0.1</x:v>
      </x:c>
      <x:c r="F24" s="14" t="str">
        <x:f t="shared" si="2"/>
        <x:v>낮음</x:v>
      </x:c>
      <x:c r="G24" s="16">
        <x:v>0</x:v>
      </x:c>
      <x:c r="H24" s="14" t="str">
        <x:f t="shared" si="3"/>
        <x:v>완만</x:v>
      </x:c>
      <x:c r="I24" s="17"/>
    </x:row>
    <x:row r="25" ht="17.399999618530273">
      <x:c r="A25" s="13" t="s">
        <x:v>34</x:v>
      </x:c>
      <x:c r="B25" s="15">
        <x:v>-7.8E-2</x:v>
      </x:c>
      <x:c r="C25" s="14" t="str">
        <x:f t="shared" si="0"/>
        <x:v>대칭형</x:v>
      </x:c>
      <x:c r="D25" s="14" t="str">
        <x:f t="shared" si="1"/>
        <x:v>없음</x:v>
      </x:c>
      <x:c r="E25" s="16">
        <x:v>3.3000000000000002E-2</x:v>
      </x:c>
      <x:c r="F25" s="14" t="str">
        <x:f t="shared" si="2"/>
        <x:v>낮음</x:v>
      </x:c>
      <x:c r="G25" s="16">
        <x:v>0</x:v>
      </x:c>
      <x:c r="H25" s="14" t="str">
        <x:f t="shared" si="3"/>
        <x:v>완만</x:v>
      </x:c>
      <x:c r="I25" s="17"/>
    </x:row>
    <x:row r="26" ht="17.399999618530273">
      <x:c r="A26" s="13" t="s">
        <x:v>35</x:v>
      </x:c>
      <x:c r="B26" s="15" t="s">
        <x:v>163</x:v>
      </x:c>
      <x:c r="C26" s="14" t="s">
        <x:v>163</x:v>
      </x:c>
      <x:c r="D26" s="14" t="s">
        <x:v>163</x:v>
      </x:c>
      <x:c r="E26" s="16" t="s">
        <x:v>163</x:v>
      </x:c>
      <x:c r="F26" s="14" t="s">
        <x:v>163</x:v>
      </x:c>
      <x:c r="G26" s="16" t="s">
        <x:v>163</x:v>
      </x:c>
      <x:c r="H26" s="14" t="s">
        <x:v>163</x:v>
      </x:c>
      <x:c r="I26" s="17"/>
    </x:row>
    <x:row r="27" ht="17.399999618530273">
      <x:c r="A27" s="13" t="s">
        <x:v>37</x:v>
      </x:c>
      <x:c r="B27" s="15">
        <x:v>-2.1230000000000002</x:v>
      </x:c>
      <x:c r="C27" s="14" t="str">
        <x:f t="shared" si="0"/>
        <x:v>왼쪽 치우침</x:v>
      </x:c>
      <x:c r="D27" s="14" t="str">
        <x:f t="shared" si="1"/>
        <x:v>왼쪽 강함</x:v>
      </x:c>
      <x:c r="E27" s="16">
        <x:v>7.1999999999999995E-2</x:v>
      </x:c>
      <x:c r="F27" s="14" t="str">
        <x:f t="shared" si="2"/>
        <x:v>낮음</x:v>
      </x:c>
      <x:c r="G27" s="16">
        <x:v>0</x:v>
      </x:c>
      <x:c r="H27" s="14" t="str">
        <x:f t="shared" si="3"/>
        <x:v>완만</x:v>
      </x:c>
      <x:c r="I27" s="17"/>
    </x:row>
    <x:row r="28" ht="17.399999618530273">
      <x:c r="A28" s="13" t="s">
        <x:v>38</x:v>
      </x:c>
      <x:c r="B28" s="15">
        <x:v>0.111</x:v>
      </x:c>
      <x:c r="C28" s="14" t="str">
        <x:f t="shared" si="0"/>
        <x:v>대칭형</x:v>
      </x:c>
      <x:c r="D28" s="14" t="str">
        <x:f t="shared" si="1"/>
        <x:v>없음</x:v>
      </x:c>
      <x:c r="E28" s="16">
        <x:v>0.17499999999999999</x:v>
      </x:c>
      <x:c r="F28" s="14" t="str">
        <x:f t="shared" si="2"/>
        <x:v>중간</x:v>
      </x:c>
      <x:c r="G28" s="16">
        <x:v>0</x:v>
      </x:c>
      <x:c r="H28" s="14" t="str">
        <x:f t="shared" si="3"/>
        <x:v>완만</x:v>
      </x:c>
      <x:c r="I28" s="17"/>
    </x:row>
    <x:row r="29" ht="17.399999618530273">
      <x:c r="A29" s="13" t="s">
        <x:v>39</x:v>
      </x:c>
      <x:c r="B29" s="15">
        <x:v>-3.7189999999999999</x:v>
      </x:c>
      <x:c r="C29" s="14" t="str">
        <x:f t="shared" si="0"/>
        <x:v>왼쪽 치우침</x:v>
      </x:c>
      <x:c r="D29" s="14" t="str">
        <x:f t="shared" si="1"/>
        <x:v>왼쪽 강함</x:v>
      </x:c>
      <x:c r="E29" s="16">
        <x:v>1.2999999999999999E-2</x:v>
      </x:c>
      <x:c r="F29" s="14" t="str">
        <x:f t="shared" si="2"/>
        <x:v>낮음</x:v>
      </x:c>
      <x:c r="G29" s="16">
        <x:v>0</x:v>
      </x:c>
      <x:c r="H29" s="14" t="str">
        <x:f t="shared" si="3"/>
        <x:v>완만</x:v>
      </x:c>
      <x:c r="I29" s="17"/>
    </x:row>
    <x:row r="30" ht="17.399999618530273">
      <x:c r="A30" s="13" t="s">
        <x:v>41</x:v>
      </x:c>
      <x:c r="B30" s="15">
        <x:v>1.7709999999999999</x:v>
      </x:c>
      <x:c r="C30" s="14" t="str">
        <x:f t="shared" si="0"/>
        <x:v>오른쪽 치우침</x:v>
      </x:c>
      <x:c r="D30" s="14" t="str">
        <x:f t="shared" si="1"/>
        <x:v>오른쪽 강함</x:v>
      </x:c>
      <x:c r="E30" s="16">
        <x:v>6.0999999999999999E-2</x:v>
      </x:c>
      <x:c r="F30" s="14" t="str">
        <x:f t="shared" si="2"/>
        <x:v>낮음</x:v>
      </x:c>
      <x:c r="G30" s="16">
        <x:v>0</x:v>
      </x:c>
      <x:c r="H30" s="14" t="str">
        <x:f t="shared" si="3"/>
        <x:v>완만</x:v>
      </x:c>
      <x:c r="I30" s="17"/>
    </x:row>
    <x:row r="31" ht="17.399999618530273">
      <x:c r="A31" s="13" t="s">
        <x:v>42</x:v>
      </x:c>
      <x:c r="B31" s="15">
        <x:v>0.88900000000000001</x:v>
      </x:c>
      <x:c r="C31" s="14" t="str">
        <x:f t="shared" si="0"/>
        <x:v>오른쪽 치우침</x:v>
      </x:c>
      <x:c r="D31" s="14" t="str">
        <x:f t="shared" si="1"/>
        <x:v>오른쪽 약함</x:v>
      </x:c>
      <x:c r="E31" s="16">
        <x:v>0.50900000000000001</x:v>
      </x:c>
      <x:c r="F31" s="14" t="str">
        <x:f t="shared" si="2"/>
        <x:v>높음</x:v>
      </x:c>
      <x:c r="G31" s="16">
        <x:v>0</x:v>
      </x:c>
      <x:c r="H31" s="14" t="str">
        <x:f t="shared" si="3"/>
        <x:v>완만</x:v>
      </x:c>
      <x:c r="I31" s="17"/>
    </x:row>
    <x:row r="32" ht="17.399999618530273">
      <x:c r="A32" s="13" t="s">
        <x:v>43</x:v>
      </x:c>
      <x:c r="B32" s="15">
        <x:v>-0.92300000000000004</x:v>
      </x:c>
      <x:c r="C32" s="14" t="str">
        <x:f t="shared" si="0"/>
        <x:v>왼쪽 치우침</x:v>
      </x:c>
      <x:c r="D32" s="14" t="str">
        <x:f t="shared" si="1"/>
        <x:v>왼쪽 약함</x:v>
      </x:c>
      <x:c r="E32" s="16">
        <x:v>1.2999999999999999E-2</x:v>
      </x:c>
      <x:c r="F32" s="14" t="str">
        <x:f t="shared" si="2"/>
        <x:v>낮음</x:v>
      </x:c>
      <x:c r="G32" s="16">
        <x:v>0</x:v>
      </x:c>
      <x:c r="H32" s="14" t="str">
        <x:f t="shared" si="3"/>
        <x:v>완만</x:v>
      </x:c>
      <x:c r="I32" s="17"/>
    </x:row>
    <x:row r="33" ht="17.399999618530273">
      <x:c r="A33" s="13" t="s">
        <x:v>44</x:v>
      </x:c>
      <x:c r="B33" s="15">
        <x:v>-1.1870000000000001</x:v>
      </x:c>
      <x:c r="C33" s="14" t="str">
        <x:f t="shared" si="0"/>
        <x:v>왼쪽 치우침</x:v>
      </x:c>
      <x:c r="D33" s="14" t="str">
        <x:f t="shared" si="1"/>
        <x:v>왼쪽 강함</x:v>
      </x:c>
      <x:c r="E33" s="16">
        <x:v>4.3999999999999997E-2</x:v>
      </x:c>
      <x:c r="F33" s="14" t="str">
        <x:f t="shared" si="2"/>
        <x:v>낮음</x:v>
      </x:c>
      <x:c r="G33" s="16">
        <x:v>0</x:v>
      </x:c>
      <x:c r="H33" s="14" t="str">
        <x:f t="shared" si="3"/>
        <x:v>완만</x:v>
      </x:c>
      <x:c r="I33" s="17"/>
    </x:row>
    <x:row r="34" ht="17.399999618530273">
      <x:c r="A34" s="13" t="s">
        <x:v>46</x:v>
      </x:c>
      <x:c r="B34" s="15">
        <x:v>-6.8000000000000005E-2</x:v>
      </x:c>
      <x:c r="C34" s="14" t="str">
        <x:f t="shared" si="0"/>
        <x:v>대칭형</x:v>
      </x:c>
      <x:c r="D34" s="14" t="str">
        <x:f t="shared" si="1"/>
        <x:v>없음</x:v>
      </x:c>
      <x:c r="E34" s="16">
        <x:v>3.5999999999999997E-2</x:v>
      </x:c>
      <x:c r="F34" s="14" t="str">
        <x:f t="shared" si="2"/>
        <x:v>낮음</x:v>
      </x:c>
      <x:c r="G34" s="16">
        <x:v>0</x:v>
      </x:c>
      <x:c r="H34" s="14" t="str">
        <x:f t="shared" si="3"/>
        <x:v>완만</x:v>
      </x:c>
      <x:c r="I34" s="17"/>
    </x:row>
    <x:row r="35" ht="17.399999618530273">
      <x:c r="A35" s="13"/>
      <x:c r="B35" s="15"/>
      <x:c r="C35" s="14"/>
      <x:c r="D35" s="14"/>
      <x:c r="E35" s="16"/>
      <x:c r="F35" s="14"/>
      <x:c r="G35" s="16"/>
      <x:c r="H35" s="14"/>
      <x:c r="I35" s="17"/>
    </x:row>
    <x:row r="36" ht="17.399999618530273">
      <x:c r="A36" s="13"/>
      <x:c r="B36" s="15"/>
      <x:c r="C36" s="14"/>
      <x:c r="D36" s="14"/>
      <x:c r="E36" s="16"/>
      <x:c r="F36" s="14"/>
      <x:c r="G36" s="16"/>
      <x:c r="H36" s="14"/>
      <x:c r="I36" s="17"/>
    </x:row>
    <x:row r="37" ht="17.399999618530273">
      <x:c r="A37" s="13"/>
      <x:c r="B37" s="15"/>
      <x:c r="C37" s="14"/>
      <x:c r="D37" s="14"/>
      <x:c r="E37" s="16"/>
      <x:c r="F37" s="14"/>
      <x:c r="G37" s="16"/>
      <x:c r="H37" s="14"/>
      <x:c r="I37" s="17"/>
    </x:row>
    <x:row r="38" ht="17.399999618530273">
      <x:c r="A38" s="13"/>
      <x:c r="B38" s="15"/>
      <x:c r="C38" s="14"/>
      <x:c r="D38" s="14"/>
      <x:c r="E38" s="16"/>
      <x:c r="F38" s="14"/>
      <x:c r="G38" s="16"/>
      <x:c r="H38" s="14"/>
      <x:c r="I38" s="17"/>
    </x:row>
    <x:row r="39" ht="17.399999618530273">
      <x:c r="A39" s="13"/>
      <x:c r="B39" s="15"/>
      <x:c r="C39" s="14"/>
      <x:c r="D39" s="14"/>
      <x:c r="E39" s="16"/>
      <x:c r="F39" s="14"/>
      <x:c r="G39" s="16"/>
      <x:c r="H39" s="14"/>
      <x:c r="I39" s="17"/>
    </x:row>
    <x:row r="40" ht="17.399999618530273">
      <x:c r="A40" s="13"/>
      <x:c r="B40" s="15"/>
      <x:c r="C40" s="14"/>
      <x:c r="D40" s="14"/>
      <x:c r="E40" s="16"/>
      <x:c r="F40" s="14"/>
      <x:c r="G40" s="16"/>
      <x:c r="H40" s="14"/>
      <x:c r="I40" s="17"/>
    </x:row>
    <x:row r="41" ht="17.399999618530273">
      <x:c r="A41" s="13"/>
      <x:c r="B41" s="15"/>
      <x:c r="C41" s="14"/>
      <x:c r="D41" s="14"/>
      <x:c r="E41" s="16"/>
      <x:c r="F41" s="14"/>
      <x:c r="G41" s="16"/>
      <x:c r="H41" s="14"/>
      <x:c r="I41" s="17"/>
    </x:row>
    <x:row r="42" ht="17.399999618530273">
      <x:c r="A42" s="13"/>
      <x:c r="B42" s="15"/>
      <x:c r="C42" s="14"/>
      <x:c r="D42" s="14"/>
      <x:c r="E42" s="16"/>
      <x:c r="F42" s="14"/>
      <x:c r="G42" s="16"/>
      <x:c r="H42" s="14"/>
      <x:c r="I42" s="17"/>
    </x:row>
    <x:row r="43" ht="17.399999618530273">
      <x:c r="A43" s="13"/>
      <x:c r="B43" s="15"/>
      <x:c r="C43" s="14"/>
      <x:c r="D43" s="14"/>
      <x:c r="E43" s="16"/>
      <x:c r="F43" s="14"/>
      <x:c r="G43" s="16"/>
      <x:c r="H43" s="14"/>
      <x:c r="I43" s="17"/>
    </x:row>
    <x:row r="44" ht="17.399999618530273">
      <x:c r="A44" s="13"/>
      <x:c r="B44" s="15"/>
      <x:c r="C44" s="14"/>
      <x:c r="D44" s="14"/>
      <x:c r="E44" s="16"/>
      <x:c r="F44" s="14"/>
      <x:c r="G44" s="16"/>
      <x:c r="H44" s="14"/>
      <x:c r="I44" s="17"/>
    </x:row>
    <x:row r="45" ht="17.399999618530273">
      <x:c r="A45" s="13"/>
      <x:c r="B45" s="15"/>
      <x:c r="C45" s="14"/>
      <x:c r="D45" s="14"/>
      <x:c r="E45" s="16"/>
      <x:c r="F45" s="14"/>
      <x:c r="G45" s="16"/>
      <x:c r="H45" s="14"/>
      <x:c r="I45" s="17"/>
    </x:row>
    <x:row r="46" ht="17.399999618530273">
      <x:c r="A46" s="13"/>
      <x:c r="B46" s="15"/>
      <x:c r="C46" s="14"/>
      <x:c r="D46" s="14"/>
      <x:c r="E46" s="16"/>
      <x:c r="F46" s="14"/>
      <x:c r="G46" s="16"/>
      <x:c r="H46" s="14"/>
      <x:c r="I46" s="17"/>
    </x:row>
    <x:row r="47" ht="17.399999618530273">
      <x:c r="A47" s="13"/>
      <x:c r="B47" s="15"/>
      <x:c r="C47" s="14"/>
      <x:c r="D47" s="14"/>
      <x:c r="E47" s="16"/>
      <x:c r="F47" s="14"/>
      <x:c r="G47" s="16"/>
      <x:c r="H47" s="14"/>
      <x:c r="I47" s="17"/>
    </x:row>
    <x:row r="48" ht="17.399999618530273">
      <x:c r="A48" s="13"/>
      <x:c r="B48" s="15"/>
      <x:c r="C48" s="14"/>
      <x:c r="D48" s="14"/>
      <x:c r="E48" s="16"/>
      <x:c r="F48" s="14"/>
      <x:c r="G48" s="16"/>
      <x:c r="H48" s="14"/>
      <x:c r="I48" s="17"/>
    </x:row>
    <x:row r="49" ht="17.399999618530273">
      <x:c r="A49" s="13"/>
      <x:c r="B49" s="15"/>
      <x:c r="C49" s="14"/>
      <x:c r="D49" s="14"/>
      <x:c r="E49" s="16"/>
      <x:c r="F49" s="14"/>
      <x:c r="G49" s="16"/>
      <x:c r="H49" s="14"/>
      <x:c r="I49" s="17"/>
    </x:row>
    <x:row r="50" ht="17.399999618530273">
      <x:c r="A50" s="13"/>
      <x:c r="B50" s="15"/>
      <x:c r="C50" s="14"/>
      <x:c r="D50" s="14"/>
      <x:c r="E50" s="16"/>
      <x:c r="F50" s="14"/>
      <x:c r="G50" s="16"/>
      <x:c r="H50" s="14"/>
      <x:c r="I50" s="17"/>
    </x:row>
    <x:row r="51" ht="17.399999618530273">
      <x:c r="A51" s="13"/>
      <x:c r="B51" s="15"/>
      <x:c r="C51" s="14"/>
      <x:c r="D51" s="14"/>
      <x:c r="E51" s="16"/>
      <x:c r="F51" s="14"/>
      <x:c r="G51" s="16"/>
      <x:c r="H51" s="14"/>
      <x:c r="I51" s="17"/>
    </x:row>
    <x:row r="52" ht="17.399999618530273">
      <x:c r="A52" s="13"/>
      <x:c r="B52" s="15"/>
      <x:c r="C52" s="14"/>
      <x:c r="D52" s="14"/>
      <x:c r="E52" s="16"/>
      <x:c r="F52" s="14"/>
      <x:c r="G52" s="16"/>
      <x:c r="H52" s="14"/>
      <x:c r="I52" s="17"/>
    </x:row>
    <x:row r="53" ht="17.399999618530273">
      <x:c r="A53" s="13"/>
      <x:c r="B53" s="15"/>
      <x:c r="C53" s="14"/>
      <x:c r="D53" s="14"/>
      <x:c r="E53" s="16"/>
      <x:c r="F53" s="14"/>
      <x:c r="G53" s="16"/>
      <x:c r="H53" s="14"/>
      <x:c r="I53" s="17"/>
    </x:row>
    <x:row r="54" ht="17.399999618530273">
      <x:c r="A54" s="13"/>
      <x:c r="B54" s="15"/>
      <x:c r="C54" s="14"/>
      <x:c r="D54" s="14"/>
      <x:c r="E54" s="16"/>
      <x:c r="F54" s="14"/>
      <x:c r="G54" s="16"/>
      <x:c r="H54" s="14"/>
      <x:c r="I54" s="17"/>
    </x:row>
    <x:row r="55" ht="17.399999618530273">
      <x:c r="A55" s="13"/>
      <x:c r="B55" s="15"/>
      <x:c r="C55" s="14"/>
      <x:c r="D55" s="14"/>
      <x:c r="E55" s="16"/>
      <x:c r="F55" s="14"/>
      <x:c r="G55" s="16"/>
      <x:c r="H55" s="14"/>
      <x:c r="I55" s="17"/>
    </x:row>
    <x:row r="56" ht="17.399999618530273">
      <x:c r="A56" s="13"/>
      <x:c r="B56" s="15"/>
      <x:c r="C56" s="14"/>
      <x:c r="D56" s="14"/>
      <x:c r="E56" s="16"/>
      <x:c r="F56" s="14"/>
      <x:c r="G56" s="16"/>
      <x:c r="H56" s="14"/>
      <x:c r="I56" s="17"/>
    </x:row>
    <x:row r="57" ht="17.399999618530273">
      <x:c r="A57" s="13"/>
      <x:c r="B57" s="15"/>
      <x:c r="C57" s="14"/>
      <x:c r="D57" s="14"/>
      <x:c r="E57" s="16"/>
      <x:c r="F57" s="14"/>
      <x:c r="G57" s="16"/>
      <x:c r="H57" s="14"/>
      <x:c r="I57" s="17"/>
    </x:row>
    <x:row r="58" ht="17.399999618530273">
      <x:c r="A58" s="13"/>
      <x:c r="B58" s="15"/>
      <x:c r="C58" s="14"/>
      <x:c r="D58" s="14"/>
      <x:c r="E58" s="16"/>
      <x:c r="F58" s="14"/>
      <x:c r="G58" s="16"/>
      <x:c r="H58" s="14"/>
      <x:c r="I58" s="17"/>
    </x:row>
    <x:row r="59" ht="17.399999618530273">
      <x:c r="A59" s="13"/>
      <x:c r="B59" s="15"/>
      <x:c r="C59" s="14"/>
      <x:c r="D59" s="14"/>
      <x:c r="E59" s="16"/>
      <x:c r="F59" s="14"/>
      <x:c r="G59" s="16"/>
      <x:c r="H59" s="14"/>
      <x:c r="I59" s="17"/>
    </x:row>
    <x:row r="60" ht="17.399999618530273">
      <x:c r="A60" s="13"/>
      <x:c r="B60" s="15"/>
      <x:c r="C60" s="14"/>
      <x:c r="D60" s="14"/>
      <x:c r="E60" s="16"/>
      <x:c r="F60" s="14"/>
      <x:c r="G60" s="16"/>
      <x:c r="H60" s="14"/>
      <x:c r="I60" s="17"/>
    </x:row>
    <x:row r="61" ht="17.399999618530273">
      <x:c r="A61" s="13"/>
      <x:c r="B61" s="15"/>
      <x:c r="C61" s="14"/>
      <x:c r="D61" s="14"/>
      <x:c r="E61" s="16"/>
      <x:c r="F61" s="14"/>
      <x:c r="G61" s="16"/>
      <x:c r="H61" s="14"/>
      <x:c r="I61" s="17"/>
    </x:row>
    <x:row r="62" ht="17.399999618530273">
      <x:c r="A62" s="13"/>
      <x:c r="B62" s="15"/>
      <x:c r="C62" s="14"/>
      <x:c r="D62" s="14"/>
      <x:c r="E62" s="16"/>
      <x:c r="F62" s="14"/>
      <x:c r="G62" s="16"/>
      <x:c r="H62" s="14"/>
      <x:c r="I62" s="17"/>
    </x:row>
    <x:row r="63" ht="17.399999618530273">
      <x:c r="A63" s="13"/>
      <x:c r="B63" s="15"/>
      <x:c r="C63" s="14"/>
      <x:c r="D63" s="14"/>
      <x:c r="E63" s="16"/>
      <x:c r="F63" s="14"/>
      <x:c r="G63" s="16"/>
      <x:c r="H63" s="14"/>
      <x:c r="I63" s="17"/>
    </x:row>
    <x:row r="64" ht="17.399999618530273">
      <x:c r="A64" s="13"/>
      <x:c r="B64" s="15"/>
      <x:c r="C64" s="14"/>
      <x:c r="D64" s="14"/>
      <x:c r="E64" s="16"/>
      <x:c r="F64" s="14"/>
      <x:c r="G64" s="16"/>
      <x:c r="H64" s="14"/>
      <x:c r="I64" s="17"/>
    </x:row>
    <x:row r="65" ht="17.399999618530273">
      <x:c r="A65" s="13"/>
      <x:c r="B65" s="15"/>
      <x:c r="C65" s="14"/>
      <x:c r="D65" s="14"/>
      <x:c r="E65" s="16"/>
      <x:c r="F65" s="14"/>
      <x:c r="G65" s="16"/>
      <x:c r="H65" s="14"/>
      <x:c r="I65" s="17"/>
    </x:row>
    <x:row r="66" ht="17.399999618530273">
      <x:c r="A66" s="13"/>
      <x:c r="B66" s="15"/>
      <x:c r="C66" s="14"/>
      <x:c r="D66" s="14"/>
      <x:c r="E66" s="16"/>
      <x:c r="F66" s="14"/>
      <x:c r="G66" s="16"/>
      <x:c r="H66" s="14"/>
      <x:c r="I66" s="17"/>
    </x:row>
    <x:row r="67" ht="17.399999618530273">
      <x:c r="A67" s="13"/>
      <x:c r="B67" s="15"/>
      <x:c r="C67" s="14"/>
      <x:c r="D67" s="14"/>
      <x:c r="E67" s="16"/>
      <x:c r="F67" s="14"/>
      <x:c r="G67" s="16"/>
      <x:c r="H67" s="14"/>
      <x:c r="I67" s="17"/>
    </x:row>
    <x:row r="68" ht="17.399999618530273">
      <x:c r="A68" s="13"/>
      <x:c r="B68" s="15"/>
      <x:c r="C68" s="14"/>
      <x:c r="D68" s="14"/>
      <x:c r="E68" s="16"/>
      <x:c r="F68" s="14"/>
      <x:c r="G68" s="16"/>
      <x:c r="H68" s="14"/>
      <x:c r="I68" s="17"/>
    </x:row>
    <x:row r="69" ht="17.399999618530273">
      <x:c r="A69" s="13"/>
      <x:c r="B69" s="15"/>
      <x:c r="C69" s="14"/>
      <x:c r="D69" s="14"/>
      <x:c r="E69" s="16"/>
      <x:c r="F69" s="14"/>
      <x:c r="G69" s="16"/>
      <x:c r="H69" s="14"/>
      <x:c r="I69" s="17"/>
    </x:row>
    <x:row r="70" ht="17.399999618530273">
      <x:c r="A70" s="13"/>
      <x:c r="B70" s="15"/>
      <x:c r="C70" s="14"/>
      <x:c r="D70" s="14"/>
      <x:c r="E70" s="16"/>
      <x:c r="F70" s="14"/>
      <x:c r="G70" s="16"/>
      <x:c r="H70" s="14"/>
      <x:c r="I70" s="17"/>
    </x:row>
    <x:row r="71" ht="17.399999618530273">
      <x:c r="A71" s="13"/>
      <x:c r="B71" s="15"/>
      <x:c r="C71" s="14"/>
      <x:c r="D71" s="14"/>
      <x:c r="E71" s="16"/>
      <x:c r="F71" s="14"/>
      <x:c r="G71" s="16"/>
      <x:c r="H71" s="14"/>
      <x:c r="I71" s="17"/>
    </x:row>
    <x:row r="72" ht="17.399999618530273">
      <x:c r="A72" s="13"/>
      <x:c r="B72" s="15"/>
      <x:c r="C72" s="14"/>
      <x:c r="D72" s="14"/>
      <x:c r="E72" s="16"/>
      <x:c r="F72" s="14"/>
      <x:c r="G72" s="16"/>
      <x:c r="H72" s="14"/>
      <x:c r="I72" s="17"/>
    </x:row>
    <x:row r="73" ht="17.399999618530273">
      <x:c r="A73" s="13"/>
      <x:c r="B73" s="15"/>
      <x:c r="C73" s="14"/>
      <x:c r="D73" s="14"/>
      <x:c r="E73" s="16"/>
      <x:c r="F73" s="14"/>
      <x:c r="G73" s="16"/>
      <x:c r="H73" s="14"/>
      <x:c r="I73" s="17"/>
    </x:row>
    <x:row r="74" ht="17.399999618530273">
      <x:c r="A74" s="13"/>
      <x:c r="B74" s="15"/>
      <x:c r="C74" s="14"/>
      <x:c r="D74" s="14"/>
      <x:c r="E74" s="16"/>
      <x:c r="F74" s="14"/>
      <x:c r="G74" s="16"/>
      <x:c r="H74" s="14"/>
      <x:c r="I74" s="17"/>
    </x:row>
    <x:row r="75" ht="17.399999618530273">
      <x:c r="A75" s="13"/>
      <x:c r="B75" s="15"/>
      <x:c r="C75" s="14"/>
      <x:c r="D75" s="14"/>
      <x:c r="E75" s="16"/>
      <x:c r="F75" s="14"/>
      <x:c r="G75" s="16"/>
      <x:c r="H75" s="14"/>
      <x:c r="I75" s="17"/>
    </x:row>
    <x:row r="76" ht="17.399999618530273">
      <x:c r="A76" s="13"/>
      <x:c r="B76" s="15"/>
      <x:c r="C76" s="14"/>
      <x:c r="D76" s="14"/>
      <x:c r="E76" s="16"/>
      <x:c r="F76" s="14"/>
      <x:c r="G76" s="16"/>
      <x:c r="H76" s="14"/>
      <x:c r="I76" s="17"/>
    </x:row>
    <x:row r="77" ht="17.399999618530273">
      <x:c r="A77" s="13"/>
      <x:c r="B77" s="15"/>
      <x:c r="C77" s="14"/>
      <x:c r="D77" s="14"/>
      <x:c r="E77" s="16"/>
      <x:c r="F77" s="14"/>
      <x:c r="G77" s="16"/>
      <x:c r="H77" s="14"/>
      <x:c r="I77" s="17"/>
    </x:row>
    <x:row r="78" ht="17.399999618530273">
      <x:c r="A78" s="13"/>
      <x:c r="B78" s="15"/>
      <x:c r="C78" s="14"/>
      <x:c r="D78" s="14"/>
      <x:c r="E78" s="16"/>
      <x:c r="F78" s="14"/>
      <x:c r="G78" s="16"/>
      <x:c r="H78" s="14"/>
      <x:c r="I78" s="17"/>
    </x:row>
    <x:row r="79" ht="17.399999618530273">
      <x:c r="A79" s="13"/>
      <x:c r="B79" s="15"/>
      <x:c r="C79" s="14"/>
      <x:c r="D79" s="14"/>
      <x:c r="E79" s="16"/>
      <x:c r="F79" s="14"/>
      <x:c r="G79" s="16"/>
      <x:c r="H79" s="14"/>
      <x:c r="I79" s="17"/>
    </x:row>
    <x:row r="80" ht="17.399999618530273">
      <x:c r="A80" s="13"/>
      <x:c r="B80" s="15"/>
      <x:c r="C80" s="14"/>
      <x:c r="D80" s="14"/>
      <x:c r="E80" s="16"/>
      <x:c r="F80" s="14"/>
      <x:c r="G80" s="16"/>
      <x:c r="H80" s="14"/>
      <x:c r="I80" s="17"/>
    </x:row>
    <x:row r="81" ht="17.399999618530273">
      <x:c r="A81" s="13"/>
      <x:c r="B81" s="15"/>
      <x:c r="C81" s="14"/>
      <x:c r="D81" s="14"/>
      <x:c r="E81" s="16"/>
      <x:c r="F81" s="14"/>
      <x:c r="G81" s="16"/>
      <x:c r="H81" s="14"/>
      <x:c r="I81" s="17"/>
    </x:row>
    <x:row r="82" ht="17.399999618530273">
      <x:c r="A82" s="13"/>
      <x:c r="B82" s="15"/>
      <x:c r="C82" s="14"/>
      <x:c r="D82" s="14"/>
      <x:c r="E82" s="16"/>
      <x:c r="F82" s="14"/>
      <x:c r="G82" s="16"/>
      <x:c r="H82" s="14"/>
      <x:c r="I82" s="17"/>
    </x:row>
    <x:row r="83" ht="17.399999618530273">
      <x:c r="A83" s="13"/>
      <x:c r="B83" s="15"/>
      <x:c r="C83" s="14"/>
      <x:c r="D83" s="14"/>
      <x:c r="E83" s="16"/>
      <x:c r="F83" s="14"/>
      <x:c r="G83" s="16"/>
      <x:c r="H83" s="14"/>
      <x:c r="I83" s="17"/>
    </x:row>
    <x:row r="84" ht="17.399999618530273">
      <x:c r="A84" s="13"/>
      <x:c r="B84" s="15"/>
      <x:c r="C84" s="14"/>
      <x:c r="D84" s="14"/>
      <x:c r="E84" s="16"/>
      <x:c r="F84" s="14"/>
      <x:c r="G84" s="16"/>
      <x:c r="H84" s="14"/>
      <x:c r="I84" s="17"/>
    </x:row>
    <x:row r="85" ht="17.399999618530273">
      <x:c r="A85" s="13"/>
      <x:c r="B85" s="15"/>
      <x:c r="C85" s="14"/>
      <x:c r="D85" s="14"/>
      <x:c r="E85" s="16"/>
      <x:c r="F85" s="14"/>
      <x:c r="G85" s="16"/>
      <x:c r="H85" s="14"/>
      <x:c r="I85" s="17"/>
    </x:row>
    <x:row r="86" ht="17.399999618530273">
      <x:c r="A86" s="13"/>
      <x:c r="B86" s="15"/>
      <x:c r="C86" s="14"/>
      <x:c r="D86" s="14"/>
      <x:c r="E86" s="16"/>
      <x:c r="F86" s="14"/>
      <x:c r="G86" s="16"/>
      <x:c r="H86" s="14"/>
      <x:c r="I86" s="17"/>
    </x:row>
    <x:row r="87" ht="17.399999618530273">
      <x:c r="A87" s="13"/>
      <x:c r="B87" s="15"/>
      <x:c r="C87" s="14"/>
      <x:c r="D87" s="14"/>
      <x:c r="E87" s="16"/>
      <x:c r="F87" s="14"/>
      <x:c r="G87" s="16"/>
      <x:c r="H87" s="14"/>
      <x:c r="I87" s="17"/>
    </x:row>
    <x:row r="88" ht="17.399999618530273">
      <x:c r="A88" s="13"/>
      <x:c r="B88" s="15"/>
      <x:c r="C88" s="14"/>
      <x:c r="D88" s="14"/>
      <x:c r="E88" s="16"/>
      <x:c r="F88" s="14"/>
      <x:c r="G88" s="16"/>
      <x:c r="H88" s="14"/>
      <x:c r="I88" s="17"/>
    </x:row>
    <x:row r="89" ht="17.399999618530273">
      <x:c r="A89" s="13"/>
      <x:c r="B89" s="15"/>
      <x:c r="C89" s="14"/>
      <x:c r="D89" s="14"/>
      <x:c r="E89" s="16"/>
      <x:c r="F89" s="14"/>
      <x:c r="G89" s="16"/>
      <x:c r="H89" s="14"/>
      <x:c r="I89" s="17"/>
    </x:row>
    <x:row r="90" ht="17.399999618530273">
      <x:c r="A90" s="13"/>
      <x:c r="B90" s="15"/>
      <x:c r="C90" s="14"/>
      <x:c r="D90" s="14"/>
      <x:c r="E90" s="16"/>
      <x:c r="F90" s="14"/>
      <x:c r="G90" s="16"/>
      <x:c r="H90" s="14"/>
      <x:c r="I90" s="17"/>
    </x:row>
    <x:row r="91" ht="17.399999618530273">
      <x:c r="A91" s="13"/>
      <x:c r="B91" s="15"/>
      <x:c r="C91" s="14"/>
      <x:c r="D91" s="14"/>
      <x:c r="E91" s="16"/>
      <x:c r="F91" s="14"/>
      <x:c r="G91" s="16"/>
      <x:c r="H91" s="14"/>
      <x:c r="I91" s="17"/>
    </x:row>
    <x:row r="92" ht="17.399999618530273">
      <x:c r="A92" s="13"/>
      <x:c r="B92" s="15"/>
      <x:c r="C92" s="14"/>
      <x:c r="D92" s="14"/>
      <x:c r="E92" s="16"/>
      <x:c r="F92" s="14"/>
      <x:c r="G92" s="16"/>
      <x:c r="H92" s="14"/>
      <x:c r="I92" s="17"/>
    </x:row>
    <x:row r="93" ht="17.399999618530273">
      <x:c r="A93" s="13"/>
      <x:c r="B93" s="15"/>
      <x:c r="C93" s="14"/>
      <x:c r="D93" s="14"/>
      <x:c r="E93" s="16"/>
      <x:c r="F93" s="14"/>
      <x:c r="G93" s="16"/>
      <x:c r="H93" s="14"/>
      <x:c r="I93" s="17"/>
    </x:row>
    <x:row r="94" ht="17.399999618530273">
      <x:c r="A94" s="13"/>
      <x:c r="B94" s="15"/>
      <x:c r="C94" s="14"/>
      <x:c r="D94" s="14"/>
      <x:c r="E94" s="16"/>
      <x:c r="F94" s="14"/>
      <x:c r="G94" s="16"/>
      <x:c r="H94" s="14"/>
      <x:c r="I94" s="17"/>
    </x:row>
  </x:sheetData>
  <x:mergeCells>
    <x:mergeCell ref="A1:I1"/>
    <x:mergeCell ref="A2:I2"/>
  </x:mergeCells>
  <x:pageMargins left="0.7" right="0.7" top="0.75" bottom="0.75" header="0.3" footer="0.3"/>
  <x:legacyDrawing xmlns:r="http://schemas.openxmlformats.org/officeDocument/2006/relationships" r:id="R7832468530f14c2a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RowHeight="14.399999618530273"/>
  <x:cols>
    <x:col min="1" max="1" width="12" style="11" customWidth="1"/>
    <x:col min="2" max="3" width="24" style="11" customWidth="1"/>
    <x:col min="4" max="6" width="12" style="11" customWidth="1"/>
    <x:col min="7" max="7" width="26" style="11" customWidth="1"/>
    <x:col min="8" max="8" width="12" style="11" customWidth="1"/>
    <x:col min="9" max="9" width="32" style="11" customWidth="1"/>
    <x:col min="10" max="16384" width="8.796875" style="11" customWidth="0"/>
  </x:cols>
  <x:sheetData>
    <x:row r="1" ht="28.049999237060547" customHeight="1">
      <x:c r="A1" s="34" t="s">
        <x:v>164</x:v>
      </x:c>
      <x:c r="B1" s="35"/>
      <x:c r="C1" s="35"/>
      <x:c r="D1" s="35"/>
      <x:c r="E1" s="35"/>
      <x:c r="F1" s="35"/>
      <x:c r="G1" s="35"/>
      <x:c r="H1" s="35"/>
      <x:c r="I1" s="35"/>
    </x:row>
    <x:row r="2" ht="15.600000381469727">
      <x:c r="A2" s="36" t="s">
        <x:v>165</x:v>
      </x:c>
      <x:c r="B2" s="35"/>
      <x:c r="C2" s="35"/>
      <x:c r="D2" s="35"/>
      <x:c r="E2" s="35"/>
      <x:c r="F2" s="35"/>
      <x:c r="G2" s="35"/>
      <x:c r="H2" s="35"/>
      <x:c r="I2" s="35"/>
    </x:row>
    <x:row r="4" ht="34.04999923706055" customHeight="1">
      <x:c r="A4" s="12" t="s">
        <x:v>166</x:v>
      </x:c>
      <x:c r="B4" s="12" t="s">
        <x:v>167</x:v>
      </x:c>
      <x:c r="C4" s="12" t="s">
        <x:v>168</x:v>
      </x:c>
      <x:c r="D4" s="12" t="s">
        <x:v>169</x:v>
      </x:c>
      <x:c r="E4" s="12" t="s">
        <x:v>170</x:v>
      </x:c>
      <x:c r="F4" s="12" t="s">
        <x:v>171</x:v>
      </x:c>
      <x:c r="G4" s="12" t="s">
        <x:v>172</x:v>
      </x:c>
      <x:c r="H4" s="12" t="s">
        <x:v>173</x:v>
      </x:c>
      <x:c r="I4" s="12" t="s">
        <x:v>61</x:v>
      </x:c>
    </x:row>
    <x:row r="5" ht="17.399999618530273">
      <x:c r="A5" s="18" t="s">
        <x:v>174</x:v>
      </x:c>
      <x:c r="B5" s="19" t="s">
        <x:v>33</x:v>
      </x:c>
      <x:c r="C5" s="19" t="s">
        <x:v>4</x:v>
      </x:c>
      <x:c r="D5" s="20">
        <x:v>0.53800000000000003</x:v>
      </x:c>
      <x:c r="E5" s="21" t="str">
        <x:f t="shared" ref="E5:E24" si="0">IF(D5="","",IF(D5="판단불가","판단불가",IF(D5&gt;0,"양",IF(D5&lt;0,"음","없음"))))</x:f>
        <x:v>양</x:v>
      </x:c>
      <x:c r="F5" s="21" t="str">
        <x:f t="shared" ref="F5:F24" si="1">IF(D5="","",IF(D5="판단불가","판단불가",IF(ABS(D5)&lt;0.2,"약함",IF(ABS(D5)&lt;0.5,"중간","강함"))))</x:f>
        <x:v>강함</x:v>
      </x:c>
      <x:c r="G5" s="19" t="s">
        <x:v>175</x:v>
      </x:c>
      <x:c r="H5" s="19" t="s">
        <x:v>176</x:v>
      </x:c>
      <x:c r="I5" s="22" t="s">
        <x:v>177</x:v>
      </x:c>
    </x:row>
    <x:row r="6" ht="17.399999618530273">
      <x:c r="A6" s="18" t="s">
        <x:v>178</x:v>
      </x:c>
      <x:c r="B6" s="19" t="s">
        <x:v>33</x:v>
      </x:c>
      <x:c r="C6" s="19" t="s">
        <x:v>6</x:v>
      </x:c>
      <x:c r="D6" s="20">
        <x:v>0.69499999999999995</x:v>
      </x:c>
      <x:c r="E6" s="21" t="str">
        <x:f t="shared" si="0"/>
        <x:v>양</x:v>
      </x:c>
      <x:c r="F6" s="21" t="str">
        <x:f t="shared" si="1"/>
        <x:v>강함</x:v>
      </x:c>
      <x:c r="G6" s="19" t="s">
        <x:v>175</x:v>
      </x:c>
      <x:c r="H6" s="19" t="s">
        <x:v>176</x:v>
      </x:c>
      <x:c r="I6" s="22" t="s">
        <x:v>177</x:v>
      </x:c>
    </x:row>
    <x:row r="7" ht="17.399999618530273">
      <x:c r="A7" s="18" t="s">
        <x:v>179</x:v>
      </x:c>
      <x:c r="B7" s="19" t="s">
        <x:v>33</x:v>
      </x:c>
      <x:c r="C7" s="19" t="s">
        <x:v>7</x:v>
      </x:c>
      <x:c r="D7" s="20">
        <x:v>0.73199999999999998</x:v>
      </x:c>
      <x:c r="E7" s="21" t="str">
        <x:f t="shared" si="0"/>
        <x:v>양</x:v>
      </x:c>
      <x:c r="F7" s="21" t="str">
        <x:f t="shared" si="1"/>
        <x:v>강함</x:v>
      </x:c>
      <x:c r="G7" s="19" t="s">
        <x:v>175</x:v>
      </x:c>
      <x:c r="H7" s="19" t="s">
        <x:v>176</x:v>
      </x:c>
      <x:c r="I7" s="22" t="s">
        <x:v>177</x:v>
      </x:c>
    </x:row>
    <x:row r="8" ht="17.399999618530273">
      <x:c r="A8" s="18" t="s">
        <x:v>180</x:v>
      </x:c>
      <x:c r="B8" s="19" t="s">
        <x:v>33</x:v>
      </x:c>
      <x:c r="C8" s="19" t="s">
        <x:v>8</x:v>
      </x:c>
      <x:c r="D8" s="20">
        <x:v>3.5000000000000003E-2</x:v>
      </x:c>
      <x:c r="E8" s="21" t="str">
        <x:f t="shared" si="0"/>
        <x:v>양</x:v>
      </x:c>
      <x:c r="F8" s="21" t="str">
        <x:f t="shared" si="1"/>
        <x:v>약함</x:v>
      </x:c>
      <x:c r="G8" s="19" t="s">
        <x:v>175</x:v>
      </x:c>
      <x:c r="H8" s="19" t="s">
        <x:v>176</x:v>
      </x:c>
      <x:c r="I8" s="22" t="s">
        <x:v>177</x:v>
      </x:c>
    </x:row>
    <x:row r="9" ht="17.399999618530273">
      <x:c r="A9" s="18" t="s">
        <x:v>181</x:v>
      </x:c>
      <x:c r="B9" s="19" t="s">
        <x:v>33</x:v>
      </x:c>
      <x:c r="C9" s="19" t="s">
        <x:v>9</x:v>
      </x:c>
      <x:c r="D9" s="20">
        <x:v>0</x:v>
      </x:c>
      <x:c r="E9" s="23" t="s">
        <x:v>182</x:v>
      </x:c>
      <x:c r="F9" s="21" t="str">
        <x:f t="shared" si="1"/>
        <x:v>약함</x:v>
      </x:c>
      <x:c r="G9" s="19" t="s">
        <x:v>175</x:v>
      </x:c>
      <x:c r="H9" s="19" t="s">
        <x:v>176</x:v>
      </x:c>
      <x:c r="I9" s="22" t="s">
        <x:v>177</x:v>
      </x:c>
    </x:row>
    <x:row r="10" ht="17.399999618530273">
      <x:c r="A10" s="18" t="s">
        <x:v>183</x:v>
      </x:c>
      <x:c r="B10" s="19" t="s">
        <x:v>33</x:v>
      </x:c>
      <x:c r="C10" s="19" t="s">
        <x:v>10</x:v>
      </x:c>
      <x:c r="D10" s="20">
        <x:v>-0.28000000000000003</x:v>
      </x:c>
      <x:c r="E10" s="21" t="str">
        <x:f t="shared" si="0"/>
        <x:v>음</x:v>
      </x:c>
      <x:c r="F10" s="21" t="str">
        <x:f t="shared" si="1"/>
        <x:v>중간</x:v>
      </x:c>
      <x:c r="G10" s="19" t="s">
        <x:v>175</x:v>
      </x:c>
      <x:c r="H10" s="19" t="s">
        <x:v>176</x:v>
      </x:c>
      <x:c r="I10" s="22" t="s">
        <x:v>177</x:v>
      </x:c>
    </x:row>
    <x:row r="11" ht="17.399999618530273">
      <x:c r="A11" s="18" t="s">
        <x:v>184</x:v>
      </x:c>
      <x:c r="B11" s="19" t="s">
        <x:v>33</x:v>
      </x:c>
      <x:c r="C11" s="19" t="s">
        <x:v>11</x:v>
      </x:c>
      <x:c r="D11" s="20">
        <x:v>1.2E-2</x:v>
      </x:c>
      <x:c r="E11" s="21" t="str">
        <x:f t="shared" si="0"/>
        <x:v>양</x:v>
      </x:c>
      <x:c r="F11" s="21" t="str">
        <x:f t="shared" si="1"/>
        <x:v>약함</x:v>
      </x:c>
      <x:c r="G11" s="19" t="s">
        <x:v>175</x:v>
      </x:c>
      <x:c r="H11" s="19" t="s">
        <x:v>176</x:v>
      </x:c>
      <x:c r="I11" s="22" t="s">
        <x:v>177</x:v>
      </x:c>
    </x:row>
    <x:row r="12" ht="17.399999618530273">
      <x:c r="A12" s="18" t="s">
        <x:v>185</x:v>
      </x:c>
      <x:c r="B12" s="19" t="s">
        <x:v>34</x:v>
      </x:c>
      <x:c r="C12" s="19" t="s">
        <x:v>4</x:v>
      </x:c>
      <x:c r="D12" s="20">
        <x:v>0.35</x:v>
      </x:c>
      <x:c r="E12" s="21" t="str">
        <x:f t="shared" si="0"/>
        <x:v>양</x:v>
      </x:c>
      <x:c r="F12" s="21" t="str">
        <x:f t="shared" si="1"/>
        <x:v>중간</x:v>
      </x:c>
      <x:c r="G12" s="19" t="s">
        <x:v>175</x:v>
      </x:c>
      <x:c r="H12" s="19" t="s">
        <x:v>176</x:v>
      </x:c>
      <x:c r="I12" s="22" t="s">
        <x:v>177</x:v>
      </x:c>
    </x:row>
    <x:row r="13" ht="17.399999618530273">
      <x:c r="A13" s="18" t="s">
        <x:v>186</x:v>
      </x:c>
      <x:c r="B13" s="19" t="s">
        <x:v>34</x:v>
      </x:c>
      <x:c r="C13" s="19" t="s">
        <x:v>6</x:v>
      </x:c>
      <x:c r="D13" s="20">
        <x:v>0.22</x:v>
      </x:c>
      <x:c r="E13" s="21" t="str">
        <x:f t="shared" si="0"/>
        <x:v>양</x:v>
      </x:c>
      <x:c r="F13" s="21" t="str">
        <x:f t="shared" si="1"/>
        <x:v>중간</x:v>
      </x:c>
      <x:c r="G13" s="19" t="s">
        <x:v>175</x:v>
      </x:c>
      <x:c r="H13" s="19" t="s">
        <x:v>176</x:v>
      </x:c>
      <x:c r="I13" s="22" t="s">
        <x:v>177</x:v>
      </x:c>
    </x:row>
    <x:row r="14" ht="17.399999618530273">
      <x:c r="A14" s="18" t="s">
        <x:v>187</x:v>
      </x:c>
      <x:c r="B14" s="19" t="s">
        <x:v>34</x:v>
      </x:c>
      <x:c r="C14" s="19" t="s">
        <x:v>7</x:v>
      </x:c>
      <x:c r="D14" s="20">
        <x:v>0.245</x:v>
      </x:c>
      <x:c r="E14" s="21" t="str">
        <x:f t="shared" si="0"/>
        <x:v>양</x:v>
      </x:c>
      <x:c r="F14" s="21" t="str">
        <x:f t="shared" si="1"/>
        <x:v>중간</x:v>
      </x:c>
      <x:c r="G14" s="19" t="s">
        <x:v>175</x:v>
      </x:c>
      <x:c r="H14" s="19" t="s">
        <x:v>176</x:v>
      </x:c>
      <x:c r="I14" s="22" t="s">
        <x:v>177</x:v>
      </x:c>
    </x:row>
    <x:row r="15" ht="17.399999618530273">
      <x:c r="A15" s="18" t="s">
        <x:v>188</x:v>
      </x:c>
      <x:c r="B15" s="19" t="s">
        <x:v>34</x:v>
      </x:c>
      <x:c r="C15" s="19" t="s">
        <x:v>8</x:v>
      </x:c>
      <x:c r="D15" s="20">
        <x:v>7.5999999999999998E-2</x:v>
      </x:c>
      <x:c r="E15" s="21" t="str">
        <x:f t="shared" si="0"/>
        <x:v>양</x:v>
      </x:c>
      <x:c r="F15" s="21" t="str">
        <x:f t="shared" si="1"/>
        <x:v>약함</x:v>
      </x:c>
      <x:c r="G15" s="19" t="s">
        <x:v>175</x:v>
      </x:c>
      <x:c r="H15" s="19" t="s">
        <x:v>176</x:v>
      </x:c>
      <x:c r="I15" s="22" t="s">
        <x:v>177</x:v>
      </x:c>
    </x:row>
    <x:row r="16" ht="17.399999618530273">
      <x:c r="A16" s="18" t="s">
        <x:v>189</x:v>
      </x:c>
      <x:c r="B16" s="19" t="s">
        <x:v>34</x:v>
      </x:c>
      <x:c r="C16" s="19" t="s">
        <x:v>9</x:v>
      </x:c>
      <x:c r="D16" s="20">
        <x:v>0.14000000000000001</x:v>
      </x:c>
      <x:c r="E16" s="21" t="str">
        <x:f t="shared" si="0"/>
        <x:v>양</x:v>
      </x:c>
      <x:c r="F16" s="21" t="str">
        <x:f t="shared" si="1"/>
        <x:v>약함</x:v>
      </x:c>
      <x:c r="G16" s="19" t="s">
        <x:v>175</x:v>
      </x:c>
      <x:c r="H16" s="19" t="s">
        <x:v>176</x:v>
      </x:c>
      <x:c r="I16" s="22" t="s">
        <x:v>177</x:v>
      </x:c>
    </x:row>
    <x:row r="17" ht="17.399999618530273">
      <x:c r="A17" s="18" t="s">
        <x:v>190</x:v>
      </x:c>
      <x:c r="B17" s="19" t="s">
        <x:v>34</x:v>
      </x:c>
      <x:c r="C17" s="19" t="s">
        <x:v>10</x:v>
      </x:c>
      <x:c r="D17" s="20">
        <x:v>0.125</x:v>
      </x:c>
      <x:c r="E17" s="21" t="str">
        <x:f t="shared" si="0"/>
        <x:v>양</x:v>
      </x:c>
      <x:c r="F17" s="21" t="str">
        <x:f t="shared" si="1"/>
        <x:v>약함</x:v>
      </x:c>
      <x:c r="G17" s="19" t="s">
        <x:v>175</x:v>
      </x:c>
      <x:c r="H17" s="19" t="s">
        <x:v>176</x:v>
      </x:c>
      <x:c r="I17" s="22" t="s">
        <x:v>177</x:v>
      </x:c>
    </x:row>
    <x:row r="18" ht="17.399999618530273">
      <x:c r="A18" s="18" t="s">
        <x:v>191</x:v>
      </x:c>
      <x:c r="B18" s="19" t="s">
        <x:v>34</x:v>
      </x:c>
      <x:c r="C18" s="19" t="s">
        <x:v>11</x:v>
      </x:c>
      <x:c r="D18" s="20">
        <x:v>7.6999999999999999E-2</x:v>
      </x:c>
      <x:c r="E18" s="21" t="str">
        <x:f t="shared" si="0"/>
        <x:v>양</x:v>
      </x:c>
      <x:c r="F18" s="21" t="str">
        <x:f t="shared" si="1"/>
        <x:v>약함</x:v>
      </x:c>
      <x:c r="G18" s="19" t="s">
        <x:v>175</x:v>
      </x:c>
      <x:c r="H18" s="19" t="s">
        <x:v>176</x:v>
      </x:c>
      <x:c r="I18" s="22" t="s">
        <x:v>177</x:v>
      </x:c>
    </x:row>
    <x:row r="19" ht="17.399999618530273">
      <x:c r="A19" s="18" t="s">
        <x:v>192</x:v>
      </x:c>
      <x:c r="B19" s="19" t="s">
        <x:v>35</x:v>
      </x:c>
      <x:c r="C19" s="19" t="s">
        <x:v>18</x:v>
      </x:c>
      <x:c r="D19" s="24" t="s">
        <x:v>114</x:v>
      </x:c>
      <x:c r="E19" s="23" t="s">
        <x:v>114</x:v>
      </x:c>
      <x:c r="F19" s="23" t="s">
        <x:v>114</x:v>
      </x:c>
      <x:c r="G19" s="19" t="s">
        <x:v>193</x:v>
      </x:c>
      <x:c r="H19" s="19" t="s">
        <x:v>114</x:v>
      </x:c>
      <x:c r="I19" s="22" t="s">
        <x:v>194</x:v>
      </x:c>
    </x:row>
    <x:row r="20" ht="17.399999618530273">
      <x:c r="A20" s="18" t="s">
        <x:v>195</x:v>
      </x:c>
      <x:c r="B20" s="19" t="s">
        <x:v>37</x:v>
      </x:c>
      <x:c r="C20" s="19" t="s">
        <x:v>18</x:v>
      </x:c>
      <x:c r="D20" s="20">
        <x:v>-3.6999999999999998E-2</x:v>
      </x:c>
      <x:c r="E20" s="21" t="str">
        <x:f t="shared" si="0"/>
        <x:v>음</x:v>
      </x:c>
      <x:c r="F20" s="21" t="str">
        <x:f t="shared" si="1"/>
        <x:v>약함</x:v>
      </x:c>
      <x:c r="G20" s="19" t="s">
        <x:v>175</x:v>
      </x:c>
      <x:c r="H20" s="19" t="s">
        <x:v>196</x:v>
      </x:c>
      <x:c r="I20" s="22" t="s">
        <x:v>194</x:v>
      </x:c>
    </x:row>
    <x:row r="21" ht="17.399999618530273">
      <x:c r="A21" s="18" t="s">
        <x:v>197</x:v>
      </x:c>
      <x:c r="B21" s="19" t="s">
        <x:v>38</x:v>
      </x:c>
      <x:c r="C21" s="19" t="s">
        <x:v>18</x:v>
      </x:c>
      <x:c r="D21" s="20">
        <x:v>-2.3E-2</x:v>
      </x:c>
      <x:c r="E21" s="21" t="str">
        <x:f t="shared" si="0"/>
        <x:v>음</x:v>
      </x:c>
      <x:c r="F21" s="21" t="str">
        <x:f t="shared" si="1"/>
        <x:v>약함</x:v>
      </x:c>
      <x:c r="G21" s="19" t="s">
        <x:v>175</x:v>
      </x:c>
      <x:c r="H21" s="19" t="s">
        <x:v>196</x:v>
      </x:c>
      <x:c r="I21" s="22" t="s">
        <x:v>194</x:v>
      </x:c>
    </x:row>
    <x:row r="22" ht="17.399999618530273">
      <x:c r="A22" s="18" t="s">
        <x:v>198</x:v>
      </x:c>
      <x:c r="B22" s="19" t="s">
        <x:v>39</x:v>
      </x:c>
      <x:c r="C22" s="19" t="s">
        <x:v>18</x:v>
      </x:c>
      <x:c r="D22" s="20">
        <x:v>2E-3</x:v>
      </x:c>
      <x:c r="E22" s="21" t="str">
        <x:f t="shared" si="0"/>
        <x:v>양</x:v>
      </x:c>
      <x:c r="F22" s="21" t="str">
        <x:f t="shared" si="1"/>
        <x:v>약함</x:v>
      </x:c>
      <x:c r="G22" s="19" t="s">
        <x:v>175</x:v>
      </x:c>
      <x:c r="H22" s="19" t="s">
        <x:v>199</x:v>
      </x:c>
      <x:c r="I22" s="22" t="s">
        <x:v>194</x:v>
      </x:c>
    </x:row>
    <x:row r="23" ht="17.399999618530273">
      <x:c r="A23" s="18" t="s">
        <x:v>200</x:v>
      </x:c>
      <x:c r="B23" s="19" t="s">
        <x:v>41</x:v>
      </x:c>
      <x:c r="C23" s="19" t="s">
        <x:v>18</x:v>
      </x:c>
      <x:c r="D23" s="20">
        <x:v>0.14699999999999999</x:v>
      </x:c>
      <x:c r="E23" s="21" t="str">
        <x:f t="shared" si="0"/>
        <x:v>양</x:v>
      </x:c>
      <x:c r="F23" s="21" t="str">
        <x:f t="shared" si="1"/>
        <x:v>약함</x:v>
      </x:c>
      <x:c r="G23" s="19" t="s">
        <x:v>175</x:v>
      </x:c>
      <x:c r="H23" s="19" t="s">
        <x:v>176</x:v>
      </x:c>
      <x:c r="I23" s="22" t="s">
        <x:v>194</x:v>
      </x:c>
    </x:row>
    <x:row r="24" ht="17.399999618530273">
      <x:c r="A24" s="18" t="s">
        <x:v>201</x:v>
      </x:c>
      <x:c r="B24" s="19" t="s">
        <x:v>42</x:v>
      </x:c>
      <x:c r="C24" s="19" t="s">
        <x:v>18</x:v>
      </x:c>
      <x:c r="D24" s="20">
        <x:v>-0.246</x:v>
      </x:c>
      <x:c r="E24" s="21" t="str">
        <x:f t="shared" si="0"/>
        <x:v>음</x:v>
      </x:c>
      <x:c r="F24" s="21" t="str">
        <x:f t="shared" si="1"/>
        <x:v>중간</x:v>
      </x:c>
      <x:c r="G24" s="19" t="s">
        <x:v>175</x:v>
      </x:c>
      <x:c r="H24" s="19" t="s">
        <x:v>199</x:v>
      </x:c>
      <x:c r="I24" s="22" t="s">
        <x:v>194</x:v>
      </x:c>
    </x:row>
    <x:row r="25" ht="17.399999618530273">
      <x:c r="A25" s="18" t="s">
        <x:v>202</x:v>
      </x:c>
      <x:c r="B25" s="19" t="s">
        <x:v>35</x:v>
      </x:c>
      <x:c r="C25" s="19" t="s">
        <x:v>12</x:v>
      </x:c>
      <x:c r="D25" s="20" t="s">
        <x:v>163</x:v>
      </x:c>
      <x:c r="E25" s="23" t="s">
        <x:v>114</x:v>
      </x:c>
      <x:c r="F25" s="23" t="s">
        <x:v>114</x:v>
      </x:c>
      <x:c r="G25" s="19" t="s">
        <x:v>193</x:v>
      </x:c>
      <x:c r="H25" s="19" t="s">
        <x:v>114</x:v>
      </x:c>
      <x:c r="I25" s="22" t="s">
        <x:v>203</x:v>
      </x:c>
    </x:row>
    <x:row r="26" ht="17.399999618530273">
      <x:c r="A26" s="18" t="s">
        <x:v>204</x:v>
      </x:c>
      <x:c r="B26" s="19" t="s">
        <x:v>37</x:v>
      </x:c>
      <x:c r="C26" s="19" t="s">
        <x:v>12</x:v>
      </x:c>
      <x:c r="D26" s="20" t="s">
        <x:v>163</x:v>
      </x:c>
      <x:c r="E26" s="23" t="s">
        <x:v>205</x:v>
      </x:c>
      <x:c r="F26" s="23" t="s">
        <x:v>114</x:v>
      </x:c>
      <x:c r="G26" s="19" t="s">
        <x:v>193</x:v>
      </x:c>
      <x:c r="H26" s="19" t="s">
        <x:v>196</x:v>
      </x:c>
      <x:c r="I26" s="22" t="s">
        <x:v>203</x:v>
      </x:c>
    </x:row>
    <x:row r="27" ht="17.399999618530273">
      <x:c r="A27" s="18" t="s">
        <x:v>206</x:v>
      </x:c>
      <x:c r="B27" s="19" t="s">
        <x:v>38</x:v>
      </x:c>
      <x:c r="C27" s="19" t="s">
        <x:v>12</x:v>
      </x:c>
      <x:c r="D27" s="20" t="s">
        <x:v>163</x:v>
      </x:c>
      <x:c r="E27" s="23" t="s">
        <x:v>205</x:v>
      </x:c>
      <x:c r="F27" s="21" t="s">
        <x:v>114</x:v>
      </x:c>
      <x:c r="G27" s="19" t="s">
        <x:v>193</x:v>
      </x:c>
      <x:c r="H27" s="19" t="s">
        <x:v>196</x:v>
      </x:c>
      <x:c r="I27" s="22" t="s">
        <x:v>203</x:v>
      </x:c>
    </x:row>
    <x:row r="28" ht="17.399999618530273">
      <x:c r="A28" s="18" t="s">
        <x:v>207</x:v>
      </x:c>
      <x:c r="B28" s="19" t="s">
        <x:v>19</x:v>
      </x:c>
      <x:c r="C28" s="19" t="s">
        <x:v>12</x:v>
      </x:c>
      <x:c r="D28" s="20" t="s">
        <x:v>163</x:v>
      </x:c>
      <x:c r="E28" s="23" t="s">
        <x:v>205</x:v>
      </x:c>
      <x:c r="F28" s="21" t="s">
        <x:v>208</x:v>
      </x:c>
      <x:c r="G28" s="19" t="s">
        <x:v>193</x:v>
      </x:c>
      <x:c r="H28" s="19" t="s">
        <x:v>196</x:v>
      </x:c>
      <x:c r="I28" s="22" t="s">
        <x:v>203</x:v>
      </x:c>
    </x:row>
    <x:row r="29" ht="17.399999618530273">
      <x:c r="A29" s="18" t="s">
        <x:v>209</x:v>
      </x:c>
      <x:c r="B29" s="19" t="s">
        <x:v>21</x:v>
      </x:c>
      <x:c r="C29" s="19" t="s">
        <x:v>12</x:v>
      </x:c>
      <x:c r="D29" s="20" t="s">
        <x:v>163</x:v>
      </x:c>
      <x:c r="E29" s="23" t="s">
        <x:v>205</x:v>
      </x:c>
      <x:c r="F29" s="21" t="s">
        <x:v>208</x:v>
      </x:c>
      <x:c r="G29" s="19" t="s">
        <x:v>193</x:v>
      </x:c>
      <x:c r="H29" s="19" t="s">
        <x:v>196</x:v>
      </x:c>
      <x:c r="I29" s="22" t="s">
        <x:v>203</x:v>
      </x:c>
    </x:row>
    <x:row r="30" ht="17.399999618530273">
      <x:c r="A30" s="18" t="s">
        <x:v>210</x:v>
      </x:c>
      <x:c r="B30" s="19" t="s">
        <x:v>23</x:v>
      </x:c>
      <x:c r="C30" s="19" t="s">
        <x:v>12</x:v>
      </x:c>
      <x:c r="D30" s="20" t="s">
        <x:v>163</x:v>
      </x:c>
      <x:c r="E30" s="23" t="s">
        <x:v>205</x:v>
      </x:c>
      <x:c r="F30" s="21" t="s">
        <x:v>208</x:v>
      </x:c>
      <x:c r="G30" s="19" t="s">
        <x:v>193</x:v>
      </x:c>
      <x:c r="H30" s="19" t="s">
        <x:v>196</x:v>
      </x:c>
      <x:c r="I30" s="22" t="s">
        <x:v>203</x:v>
      </x:c>
    </x:row>
    <x:row r="31" ht="17.399999618530273">
      <x:c r="A31" s="18" t="s">
        <x:v>211</x:v>
      </x:c>
      <x:c r="B31" s="19" t="s">
        <x:v>25</x:v>
      </x:c>
      <x:c r="C31" s="19" t="s">
        <x:v>12</x:v>
      </x:c>
      <x:c r="D31" s="20" t="s">
        <x:v>163</x:v>
      </x:c>
      <x:c r="E31" s="23" t="s">
        <x:v>205</x:v>
      </x:c>
      <x:c r="F31" s="21" t="s">
        <x:v>208</x:v>
      </x:c>
      <x:c r="G31" s="19" t="s">
        <x:v>193</x:v>
      </x:c>
      <x:c r="H31" s="19" t="s">
        <x:v>196</x:v>
      </x:c>
      <x:c r="I31" s="22" t="s">
        <x:v>203</x:v>
      </x:c>
    </x:row>
    <x:row r="32" ht="17.399999618530273">
      <x:c r="A32" s="18" t="s">
        <x:v>212</x:v>
      </x:c>
      <x:c r="B32" s="19" t="s">
        <x:v>43</x:v>
      </x:c>
      <x:c r="C32" s="19" t="s">
        <x:v>15</x:v>
      </x:c>
      <x:c r="D32" s="20" t="s">
        <x:v>163</x:v>
      </x:c>
      <x:c r="E32" s="23" t="s">
        <x:v>205</x:v>
      </x:c>
      <x:c r="F32" s="23" t="s">
        <x:v>208</x:v>
      </x:c>
      <x:c r="G32" s="19" t="s">
        <x:v>193</x:v>
      </x:c>
      <x:c r="H32" s="19" t="s">
        <x:v>196</x:v>
      </x:c>
      <x:c r="I32" s="22" t="s">
        <x:v>203</x:v>
      </x:c>
    </x:row>
    <x:row r="33" ht="17.399999618530273">
      <x:c r="A33" s="18" t="s">
        <x:v>213</x:v>
      </x:c>
      <x:c r="B33" s="19" t="s">
        <x:v>44</x:v>
      </x:c>
      <x:c r="C33" s="19" t="s">
        <x:v>15</x:v>
      </x:c>
      <x:c r="D33" s="20" t="s">
        <x:v>163</x:v>
      </x:c>
      <x:c r="E33" s="23" t="s">
        <x:v>205</x:v>
      </x:c>
      <x:c r="F33" s="23" t="s">
        <x:v>208</x:v>
      </x:c>
      <x:c r="G33" s="19" t="s">
        <x:v>193</x:v>
      </x:c>
      <x:c r="H33" s="19" t="s">
        <x:v>196</x:v>
      </x:c>
      <x:c r="I33" s="22" t="s">
        <x:v>203</x:v>
      </x:c>
    </x:row>
    <x:row r="34" ht="17.399999618530273">
      <x:c r="A34" s="18" t="s">
        <x:v>214</x:v>
      </x:c>
      <x:c r="B34" s="19" t="s">
        <x:v>46</x:v>
      </x:c>
      <x:c r="C34" s="19" t="s">
        <x:v>15</x:v>
      </x:c>
      <x:c r="D34" s="20" t="s">
        <x:v>163</x:v>
      </x:c>
      <x:c r="E34" s="23" t="s">
        <x:v>205</x:v>
      </x:c>
      <x:c r="F34" s="23" t="s">
        <x:v>208</x:v>
      </x:c>
      <x:c r="G34" s="19" t="s">
        <x:v>193</x:v>
      </x:c>
      <x:c r="H34" s="19" t="s">
        <x:v>196</x:v>
      </x:c>
      <x:c r="I34" s="22" t="s">
        <x:v>203</x:v>
      </x:c>
    </x:row>
    <x:row r="35" ht="17.399999618530273">
      <x:c r="A35" s="18" t="s">
        <x:v>215</x:v>
      </x:c>
      <x:c r="B35" s="19" t="s">
        <x:v>27</x:v>
      </x:c>
      <x:c r="C35" s="19" t="s">
        <x:v>15</x:v>
      </x:c>
      <x:c r="D35" s="20" t="s">
        <x:v>163</x:v>
      </x:c>
      <x:c r="E35" s="23" t="s">
        <x:v>205</x:v>
      </x:c>
      <x:c r="F35" s="23" t="s">
        <x:v>208</x:v>
      </x:c>
      <x:c r="G35" s="19" t="s">
        <x:v>193</x:v>
      </x:c>
      <x:c r="H35" s="19" t="s">
        <x:v>196</x:v>
      </x:c>
      <x:c r="I35" s="22" t="s">
        <x:v>203</x:v>
      </x:c>
    </x:row>
    <x:row r="36" ht="17.399999618530273">
      <x:c r="A36" s="18" t="s">
        <x:v>216</x:v>
      </x:c>
      <x:c r="B36" s="19" t="s">
        <x:v>29</x:v>
      </x:c>
      <x:c r="C36" s="19" t="s">
        <x:v>15</x:v>
      </x:c>
      <x:c r="D36" s="20" t="s">
        <x:v>163</x:v>
      </x:c>
      <x:c r="E36" s="23" t="s">
        <x:v>205</x:v>
      </x:c>
      <x:c r="F36" s="23" t="s">
        <x:v>208</x:v>
      </x:c>
      <x:c r="G36" s="19" t="s">
        <x:v>193</x:v>
      </x:c>
      <x:c r="H36" s="19" t="s">
        <x:v>196</x:v>
      </x:c>
      <x:c r="I36" s="22" t="s">
        <x:v>203</x:v>
      </x:c>
    </x:row>
  </x:sheetData>
  <x:mergeCells>
    <x:mergeCell ref="A1:I1"/>
    <x:mergeCell ref="A2:I2"/>
  </x:mergeCells>
  <x:conditionalFormatting sqref="B5:C36">
    <x:cfRule type="expression" dxfId="0" priority="1">
      <x:formula>AND($B5&lt;&gt;"",$B5=$C5)</x:formula>
    </x:cfRule>
  </x:conditionalFormatting>
  <x:dataValidations count="3">
    <x:dataValidation type="list" allowBlank="1" sqref="H5:H36">
      <x:formula1>"높음,중간,낮음"</x:formula1>
    </x:dataValidation>
    <x:dataValidation type="list" allowBlank="1" sqref="G5:G36">
      <x:formula1>"일 단위 분석+현업 판단,제한된 데이터+현업 판단,현업 판단,합성 가정"</x:formula1>
    </x:dataValidation>
    <x:dataValidation type="list" allowBlank="1" sqref="B5:C36">
      <x:formula1>VariableHeaders</x:formula1>
    </x:dataValidation>
  </x:dataValidations>
  <x:pageMargins left="0.7" right="0.7" top="0.75" bottom="0.75" header="0.3" footer="0.3"/>
  <x:legacyDrawing xmlns:r="http://schemas.openxmlformats.org/officeDocument/2006/relationships" r:id="Rcee11dd1f5b6446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8" customWidth="1"/>
    <x:col min="3" max="3" width="22" customWidth="1"/>
    <x:col min="4" max="4" width="24" customWidth="1"/>
    <x:col min="5" max="5" width="23.796875" customWidth="1"/>
    <x:col min="6" max="6" width="22" customWidth="1"/>
    <x:col min="7" max="7" width="32" customWidth="1"/>
    <x:col min="8" max="8" width="14" customWidth="1"/>
    <x:col min="9" max="9" width="12" customWidth="1"/>
    <x:col min="10" max="10" width="17.09765625" customWidth="1"/>
    <x:col min="11" max="11" width="22.09765625" customWidth="1"/>
    <x:col min="12" max="12" width="28" customWidth="1"/>
  </x:cols>
  <x:sheetData>
    <x:row r="1" ht="28.049999237060547" customHeight="1">
      <x:c r="A1" s="30" t="s">
        <x:v>217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</x:row>
    <x:row r="2" ht="31.950000762939453" customHeight="1">
      <x:c r="A2" s="33" t="s">
        <x:v>218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4.04999923706055" customHeight="1">
      <x:c r="A4" s="2" t="s">
        <x:v>219</x:v>
      </x:c>
      <x:c r="B4" s="2" t="s">
        <x:v>220</x:v>
      </x:c>
      <x:c r="C4" s="2" t="s">
        <x:v>221</x:v>
      </x:c>
      <x:c r="D4" s="2" t="s">
        <x:v>222</x:v>
      </x:c>
      <x:c r="E4" s="2" t="s">
        <x:v>223</x:v>
      </x:c>
      <x:c r="F4" s="2" t="s">
        <x:v>224</x:v>
      </x:c>
      <x:c r="G4" s="2" t="s">
        <x:v>225</x:v>
      </x:c>
      <x:c r="H4" s="2" t="s">
        <x:v>226</x:v>
      </x:c>
      <x:c r="I4" s="2" t="s">
        <x:v>227</x:v>
      </x:c>
      <x:c r="J4" s="2" t="s">
        <x:v>228</x:v>
      </x:c>
      <x:c r="K4" s="2" t="s">
        <x:v>229</x:v>
      </x:c>
      <x:c r="L4" s="2" t="s">
        <x:v>230</x:v>
      </x:c>
    </x:row>
    <x:row r="5" ht="72" customHeight="1">
      <x:c r="A5" s="3" t="s">
        <x:v>231</x:v>
      </x:c>
      <x:c r="B5" s="4" t="s">
        <x:v>232</x:v>
      </x:c>
      <x:c r="C5" s="4" t="s">
        <x:v>233</x:v>
      </x:c>
      <x:c r="D5" s="8" t="s">
        <x:v>234</x:v>
      </x:c>
      <x:c r="E5" s="4" t="s">
        <x:v>33</x:v>
      </x:c>
      <x:c r="F5" s="4" t="s">
        <x:v>235</x:v>
      </x:c>
      <x:c r="G5" s="4" t="s">
        <x:v>236</x:v>
      </x:c>
      <x:c r="H5" s="4" t="s">
        <x:v>110</x:v>
      </x:c>
      <x:c r="I5" s="4" t="s">
        <x:v>176</x:v>
      </x:c>
      <x:c r="J5" s="4" t="s">
        <x:v>237</x:v>
      </x:c>
      <x:c r="K5" s="10" t="s">
        <x:v>238</x:v>
      </x:c>
      <x:c r="L5" s="10" t="s">
        <x:v>239</x:v>
      </x:c>
    </x:row>
    <x:row r="6" s="25" customFormat="1" ht="75" customHeight="1">
      <x:c r="A6" s="3" t="s">
        <x:v>240</x:v>
      </x:c>
      <x:c r="B6" s="4" t="s">
        <x:v>232</x:v>
      </x:c>
      <x:c r="C6" s="4" t="s">
        <x:v>233</x:v>
      </x:c>
      <x:c r="D6" s="8" t="s">
        <x:v>234</x:v>
      </x:c>
      <x:c r="E6" s="4" t="s">
        <x:v>34</x:v>
      </x:c>
      <x:c r="F6" s="4" t="s">
        <x:v>235</x:v>
      </x:c>
      <x:c r="G6" s="4" t="s">
        <x:v>236</x:v>
      </x:c>
      <x:c r="H6" s="4" t="s">
        <x:v>110</x:v>
      </x:c>
      <x:c r="I6" s="4" t="s">
        <x:v>196</x:v>
      </x:c>
      <x:c r="J6" s="4" t="s">
        <x:v>237</x:v>
      </x:c>
      <x:c r="K6" s="10" t="s">
        <x:v>238</x:v>
      </x:c>
      <x:c r="L6" s="10" t="s">
        <x:v>239</x:v>
      </x:c>
    </x:row>
    <x:row r="7" s="25" customFormat="1" ht="64.19999694824219" customHeight="1">
      <x:c r="A7" s="3" t="s">
        <x:v>241</x:v>
      </x:c>
      <x:c r="B7" s="4" t="s">
        <x:v>232</x:v>
      </x:c>
      <x:c r="C7" s="4" t="s">
        <x:v>45</x:v>
      </x:c>
      <x:c r="D7" s="8" t="s">
        <x:v>234</x:v>
      </x:c>
      <x:c r="E7" s="4" t="s">
        <x:v>242</x:v>
      </x:c>
      <x:c r="F7" s="4" t="s">
        <x:v>235</x:v>
      </x:c>
      <x:c r="G7" s="8" t="s">
        <x:v>243</x:v>
      </x:c>
      <x:c r="H7" s="4" t="s">
        <x:v>110</x:v>
      </x:c>
      <x:c r="I7" s="4" t="s">
        <x:v>196</x:v>
      </x:c>
      <x:c r="J7" s="4" t="s">
        <x:v>244</x:v>
      </x:c>
      <x:c r="K7" s="10" t="s">
        <x:v>238</x:v>
      </x:c>
      <x:c r="L7" s="10" t="s">
        <x:v>245</x:v>
      </x:c>
    </x:row>
    <x:row r="8" s="25" customFormat="1" ht="64.19999694824219" customHeight="1">
      <x:c r="A8" s="3" t="s">
        <x:v>246</x:v>
      </x:c>
      <x:c r="B8" s="4" t="str">
        <x:v>품질함량 함량 증가</x:v>
      </x:c>
      <x:c r="C8" s="4" t="s">
        <x:v>36</x:v>
      </x:c>
      <x:c r="D8" s="8" t="s">
        <x:v>234</x:v>
      </x:c>
      <x:c r="E8" s="4" t="s">
        <x:v>37</x:v>
      </x:c>
      <x:c r="F8" s="4" t="s">
        <x:v>235</x:v>
      </x:c>
      <x:c r="G8" s="8" t="str">
        <x:v>시작 변수 감소 -&gt; STEAM 사용 감소  -&gt; 품질함량 증가</x:v>
      </x:c>
      <x:c r="H8" s="4" t="s">
        <x:v>110</x:v>
      </x:c>
      <x:c r="I8" s="4" t="s">
        <x:v>196</x:v>
      </x:c>
      <x:c r="J8" s="4" t="s">
        <x:v>247</x:v>
      </x:c>
      <x:c r="K8" s="4" t="s">
        <x:v>248</x:v>
      </x:c>
      <x:c r="L8" s="10" t="s">
        <x:v>249</x:v>
      </x:c>
    </x:row>
    <x:row r="9" s="25" customFormat="1" ht="64.19999694824219" customHeight="1">
      <x:c r="A9" s="3" t="s">
        <x:v>250</x:v>
      </x:c>
      <x:c r="B9" s="4" t="str">
        <x:v>품질함량 함량 증가</x:v>
      </x:c>
      <x:c r="C9" s="4" t="s">
        <x:v>36</x:v>
      </x:c>
      <x:c r="D9" s="8" t="s">
        <x:v>234</x:v>
      </x:c>
      <x:c r="E9" s="4" t="s">
        <x:v>38</x:v>
      </x:c>
      <x:c r="F9" s="4" t="s">
        <x:v>235</x:v>
      </x:c>
      <x:c r="G9" s="8" t="str">
        <x:v>시작 변수 감소 -&gt; STEAM 사용 감소  -&gt; 품질함량 증가</x:v>
      </x:c>
      <x:c r="H9" s="4" t="s">
        <x:v>110</x:v>
      </x:c>
      <x:c r="I9" s="4" t="s">
        <x:v>196</x:v>
      </x:c>
      <x:c r="J9" s="4" t="s">
        <x:v>247</x:v>
      </x:c>
      <x:c r="K9" s="4" t="s">
        <x:v>248</x:v>
      </x:c>
      <x:c r="L9" s="10" t="s">
        <x:v>249</x:v>
      </x:c>
    </x:row>
    <x:row r="10" s="25" customFormat="1" ht="64.19999694824219" customHeight="1">
      <x:c r="A10" s="3" t="s">
        <x:v>251</x:v>
      </x:c>
      <x:c r="B10" s="4" t="str">
        <x:v>품질함량 함량 증가</x:v>
      </x:c>
      <x:c r="C10" s="4" t="s">
        <x:v>28</x:v>
      </x:c>
      <x:c r="D10" s="8" t="s">
        <x:v>252</x:v>
      </x:c>
      <x:c r="E10" s="4" t="s">
        <x:v>41</x:v>
      </x:c>
      <x:c r="F10" s="10" t="s">
        <x:v>248</x:v>
      </x:c>
      <x:c r="G10" s="8" t="str">
        <x:v>시작 변수 증가 -&gt; 품질함량 증가</x:v>
      </x:c>
      <x:c r="H10" s="4" t="s">
        <x:v>110</x:v>
      </x:c>
      <x:c r="I10" s="4" t="s">
        <x:v>176</x:v>
      </x:c>
      <x:c r="J10" s="4" t="s">
        <x:v>247</x:v>
      </x:c>
      <x:c r="K10" s="4" t="s">
        <x:v>248</x:v>
      </x:c>
      <x:c r="L10" s="4" t="s">
        <x:v>253</x:v>
      </x:c>
    </x:row>
    <x:row r="11" s="25" customFormat="1" ht="64.19999694824219" customHeight="1">
      <x:c r="A11" s="3" t="s">
        <x:v>254</x:v>
      </x:c>
      <x:c r="B11" s="4" t="str">
        <x:v>품질함량 함량 증가</x:v>
      </x:c>
      <x:c r="C11" s="4" t="s">
        <x:v>36</x:v>
      </x:c>
      <x:c r="D11" s="8" t="s">
        <x:v>234</x:v>
      </x:c>
      <x:c r="E11" s="4" t="s">
        <x:v>255</x:v>
      </x:c>
      <x:c r="F11" s="10" t="s">
        <x:v>235</x:v>
      </x:c>
      <x:c r="G11" s="4" t="str">
        <x:v>STEAM 사용 감소  -&gt; 품질함량 증가</x:v>
      </x:c>
      <x:c r="H11" s="4" t="s">
        <x:v>110</x:v>
      </x:c>
      <x:c r="I11" s="4" t="s">
        <x:v>176</x:v>
      </x:c>
      <x:c r="J11" s="4" t="s">
        <x:v>247</x:v>
      </x:c>
      <x:c r="K11" s="4" t="s">
        <x:v>248</x:v>
      </x:c>
      <x:c r="L11" s="4" t="s">
        <x:v>256</x:v>
      </x:c>
    </x:row>
  </x:sheetData>
  <x:mergeCells>
    <x:mergeCell ref="A1:X1"/>
    <x:mergeCell ref="A2:X2"/>
  </x:mergeCells>
  <x:dataValidations count="3">
    <x:dataValidation type="list" sqref="H5:H306">
      <x:formula1>"수분,수시간,반나절,1일,수일,모름"</x:formula1>
    </x:dataValidation>
    <x:dataValidation type="list" sqref="I5:I306">
      <x:formula1>"낮음,중간,높음,치명적"</x:formula1>
    </x:dataValidation>
    <x:dataValidation type="list" sqref="K5:K306">
      <x:formula1>"증가,감소,변동성 증가,영향 없음,모름"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1112cf7bc041cb"/>
  </x:tableParts>
</x:worksheet>
</file>